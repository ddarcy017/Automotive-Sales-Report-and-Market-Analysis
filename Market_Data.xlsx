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pann017/prac/sales analysis and reporting/"/>
    </mc:Choice>
  </mc:AlternateContent>
  <xr:revisionPtr revIDLastSave="0" documentId="13_ncr:1_{86169ECD-B517-4841-9232-3D56528FD4C3}" xr6:coauthVersionLast="47" xr6:coauthVersionMax="47" xr10:uidLastSave="{00000000-0000-0000-0000-000000000000}"/>
  <bookViews>
    <workbookView xWindow="0" yWindow="660" windowWidth="18880" windowHeight="16660" firstSheet="1" activeTab="6" xr2:uid="{00000000-000D-0000-FFFF-FFFF00000000}"/>
  </bookViews>
  <sheets>
    <sheet name="Economy" sheetId="10" r:id="rId1"/>
    <sheet name="Consumer_Segments" sheetId="11" r:id="rId2"/>
    <sheet name="Microsegments" sheetId="12" r:id="rId3"/>
    <sheet name="Market_Sales" sheetId="13" r:id="rId4"/>
    <sheet name="Microsegment_Sales" sheetId="14" r:id="rId5"/>
    <sheet name="Vehicles" sheetId="9" r:id="rId6"/>
    <sheet name="Data_model" sheetId="18" r:id="rId7"/>
    <sheet name="External_Events" sheetId="15" r:id="rId8"/>
    <sheet name="Market_LOOKUP" sheetId="16" r:id="rId9"/>
    <sheet name="Market_Analysis" sheetId="17" r:id="rId10"/>
  </sheets>
  <calcPr calcId="191029"/>
  <pivotCaches>
    <pivotCache cacheId="1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9" l="1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" i="9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133" i="14"/>
  <c r="C134" i="14"/>
  <c r="C135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C153" i="14"/>
  <c r="C154" i="14"/>
  <c r="C155" i="14"/>
  <c r="C156" i="14"/>
  <c r="C157" i="14"/>
  <c r="C158" i="14"/>
  <c r="C159" i="14"/>
  <c r="C160" i="14"/>
  <c r="C161" i="14"/>
  <c r="C162" i="14"/>
  <c r="C163" i="14"/>
  <c r="C164" i="14"/>
  <c r="C165" i="14"/>
  <c r="C166" i="14"/>
  <c r="C167" i="14"/>
  <c r="C168" i="14"/>
  <c r="C169" i="14"/>
  <c r="C170" i="14"/>
  <c r="C171" i="14"/>
  <c r="C172" i="14"/>
  <c r="C173" i="14"/>
  <c r="C174" i="14"/>
  <c r="C175" i="14"/>
  <c r="C176" i="14"/>
  <c r="C177" i="14"/>
  <c r="C178" i="14"/>
  <c r="C179" i="14"/>
  <c r="C180" i="14"/>
  <c r="C181" i="14"/>
  <c r="C182" i="14"/>
  <c r="C183" i="14"/>
  <c r="C184" i="14"/>
  <c r="C185" i="14"/>
  <c r="C186" i="14"/>
  <c r="C187" i="14"/>
  <c r="C188" i="14"/>
  <c r="C189" i="14"/>
  <c r="C190" i="14"/>
  <c r="C191" i="14"/>
  <c r="C192" i="14"/>
  <c r="C193" i="14"/>
  <c r="C194" i="14"/>
  <c r="C195" i="14"/>
  <c r="C196" i="14"/>
  <c r="C197" i="14"/>
  <c r="C198" i="14"/>
  <c r="C199" i="14"/>
  <c r="C200" i="14"/>
  <c r="C201" i="14"/>
  <c r="C202" i="14"/>
  <c r="C203" i="14"/>
  <c r="C204" i="14"/>
  <c r="C205" i="14"/>
  <c r="C206" i="14"/>
  <c r="C207" i="14"/>
  <c r="C208" i="14"/>
  <c r="C209" i="14"/>
  <c r="C210" i="14"/>
  <c r="C211" i="14"/>
  <c r="C212" i="14"/>
  <c r="C213" i="14"/>
  <c r="C214" i="14"/>
  <c r="C215" i="14"/>
  <c r="C216" i="14"/>
  <c r="C217" i="14"/>
  <c r="C218" i="14"/>
  <c r="C219" i="14"/>
  <c r="C220" i="14"/>
  <c r="C221" i="14"/>
  <c r="C222" i="14"/>
  <c r="C223" i="14"/>
  <c r="C224" i="14"/>
  <c r="C225" i="14"/>
  <c r="C226" i="14"/>
  <c r="C227" i="14"/>
  <c r="C228" i="14"/>
  <c r="C229" i="14"/>
  <c r="C230" i="14"/>
  <c r="C231" i="14"/>
  <c r="C232" i="14"/>
  <c r="C233" i="14"/>
  <c r="C234" i="14"/>
  <c r="C235" i="14"/>
  <c r="C236" i="14"/>
  <c r="C237" i="14"/>
  <c r="C238" i="14"/>
  <c r="C239" i="14"/>
  <c r="C240" i="14"/>
  <c r="C241" i="14"/>
  <c r="C242" i="14"/>
  <c r="C243" i="14"/>
  <c r="C244" i="14"/>
  <c r="C245" i="14"/>
  <c r="C246" i="14"/>
  <c r="C247" i="14"/>
  <c r="C248" i="14"/>
  <c r="C249" i="14"/>
  <c r="C250" i="14"/>
  <c r="C251" i="14"/>
  <c r="C252" i="14"/>
  <c r="C253" i="14"/>
  <c r="C254" i="14"/>
  <c r="C255" i="14"/>
  <c r="C256" i="14"/>
  <c r="C257" i="14"/>
  <c r="C258" i="14"/>
  <c r="C259" i="14"/>
  <c r="C260" i="14"/>
  <c r="C261" i="14"/>
  <c r="C262" i="14"/>
  <c r="C263" i="14"/>
  <c r="C264" i="14"/>
  <c r="C265" i="14"/>
  <c r="C266" i="14"/>
  <c r="C267" i="14"/>
  <c r="C268" i="14"/>
  <c r="C269" i="14"/>
  <c r="C270" i="14"/>
  <c r="C271" i="14"/>
  <c r="C272" i="14"/>
  <c r="C273" i="14"/>
  <c r="C274" i="14"/>
  <c r="C275" i="14"/>
  <c r="C276" i="14"/>
  <c r="C277" i="14"/>
  <c r="C278" i="14"/>
  <c r="C279" i="14"/>
  <c r="C280" i="14"/>
  <c r="C281" i="14"/>
  <c r="C282" i="14"/>
  <c r="C283" i="14"/>
  <c r="C284" i="14"/>
  <c r="C285" i="14"/>
  <c r="C286" i="14"/>
  <c r="C287" i="14"/>
  <c r="C288" i="14"/>
  <c r="C289" i="14"/>
  <c r="C290" i="14"/>
  <c r="C291" i="14"/>
  <c r="C292" i="14"/>
  <c r="C293" i="14"/>
  <c r="C294" i="14"/>
  <c r="C295" i="14"/>
  <c r="C296" i="14"/>
  <c r="C297" i="14"/>
  <c r="C298" i="14"/>
  <c r="C299" i="14"/>
  <c r="C300" i="14"/>
  <c r="C301" i="14"/>
  <c r="C302" i="14"/>
  <c r="C303" i="14"/>
  <c r="C304" i="14"/>
  <c r="C305" i="14"/>
  <c r="C306" i="14"/>
  <c r="C307" i="14"/>
  <c r="C308" i="14"/>
  <c r="C309" i="14"/>
  <c r="C310" i="14"/>
  <c r="C311" i="14"/>
  <c r="C312" i="14"/>
  <c r="C313" i="14"/>
  <c r="C314" i="14"/>
  <c r="C315" i="14"/>
  <c r="C316" i="14"/>
  <c r="C317" i="14"/>
  <c r="C318" i="14"/>
  <c r="C319" i="14"/>
  <c r="C320" i="14"/>
  <c r="C321" i="14"/>
  <c r="C322" i="14"/>
  <c r="C323" i="14"/>
  <c r="C324" i="14"/>
  <c r="C325" i="14"/>
  <c r="C326" i="14"/>
  <c r="C327" i="14"/>
  <c r="C328" i="14"/>
  <c r="C329" i="14"/>
  <c r="C330" i="14"/>
  <c r="C331" i="14"/>
  <c r="C332" i="14"/>
  <c r="C333" i="14"/>
  <c r="C334" i="14"/>
  <c r="C335" i="14"/>
  <c r="C336" i="14"/>
  <c r="C337" i="14"/>
  <c r="C338" i="14"/>
  <c r="C339" i="14"/>
  <c r="C340" i="14"/>
  <c r="C341" i="14"/>
  <c r="C342" i="14"/>
  <c r="C343" i="14"/>
  <c r="C344" i="14"/>
  <c r="C345" i="14"/>
  <c r="C346" i="14"/>
  <c r="C347" i="14"/>
  <c r="C348" i="14"/>
  <c r="C349" i="14"/>
  <c r="C350" i="14"/>
  <c r="C351" i="14"/>
  <c r="C352" i="14"/>
  <c r="C353" i="14"/>
  <c r="C354" i="14"/>
  <c r="C355" i="14"/>
  <c r="C356" i="14"/>
  <c r="C357" i="14"/>
  <c r="C358" i="14"/>
  <c r="C359" i="14"/>
  <c r="C360" i="14"/>
  <c r="C361" i="14"/>
  <c r="C362" i="14"/>
  <c r="C363" i="14"/>
  <c r="C364" i="14"/>
  <c r="C365" i="14"/>
  <c r="C366" i="14"/>
  <c r="C367" i="14"/>
  <c r="C368" i="14"/>
  <c r="C369" i="14"/>
  <c r="C370" i="14"/>
  <c r="C371" i="14"/>
  <c r="C372" i="14"/>
  <c r="C373" i="14"/>
  <c r="C374" i="14"/>
  <c r="C375" i="14"/>
  <c r="C376" i="14"/>
  <c r="C377" i="14"/>
  <c r="C378" i="14"/>
  <c r="C379" i="14"/>
  <c r="C380" i="14"/>
  <c r="C381" i="14"/>
  <c r="C382" i="14"/>
  <c r="C383" i="14"/>
  <c r="C384" i="14"/>
  <c r="C385" i="14"/>
  <c r="C386" i="14"/>
  <c r="C387" i="14"/>
  <c r="C388" i="14"/>
  <c r="C389" i="14"/>
  <c r="C390" i="14"/>
  <c r="C391" i="14"/>
  <c r="C392" i="14"/>
  <c r="C393" i="14"/>
  <c r="C394" i="14"/>
  <c r="C395" i="14"/>
  <c r="C396" i="14"/>
  <c r="C397" i="14"/>
  <c r="C398" i="14"/>
  <c r="C399" i="14"/>
  <c r="C400" i="14"/>
  <c r="C401" i="14"/>
  <c r="C9" i="14"/>
  <c r="C8" i="14"/>
  <c r="C7" i="14"/>
  <c r="C6" i="14"/>
  <c r="C5" i="14"/>
  <c r="C4" i="14"/>
  <c r="C3" i="14"/>
  <c r="C2" i="14"/>
  <c r="C3" i="10"/>
  <c r="C4" i="10"/>
  <c r="C5" i="10"/>
  <c r="C6" i="10"/>
  <c r="C7" i="10"/>
  <c r="C8" i="10"/>
  <c r="C9" i="10"/>
  <c r="C2" i="10"/>
  <c r="M1" i="18"/>
  <c r="C23" i="17"/>
  <c r="D23" i="17"/>
  <c r="E23" i="17"/>
  <c r="F23" i="17"/>
  <c r="C24" i="17"/>
  <c r="D24" i="17"/>
  <c r="E24" i="17"/>
  <c r="F24" i="17"/>
  <c r="C25" i="17"/>
  <c r="D25" i="17"/>
  <c r="E25" i="17"/>
  <c r="F25" i="17"/>
  <c r="C26" i="17"/>
  <c r="D26" i="17"/>
  <c r="E26" i="17"/>
  <c r="F26" i="17"/>
  <c r="C27" i="17"/>
  <c r="D27" i="17"/>
  <c r="E27" i="17"/>
  <c r="F27" i="17"/>
  <c r="C22" i="17"/>
  <c r="D22" i="17"/>
  <c r="D28" i="17" s="1"/>
  <c r="E22" i="17"/>
  <c r="E28" i="17" s="1"/>
  <c r="F22" i="17"/>
  <c r="F28" i="17" s="1"/>
  <c r="B23" i="17"/>
  <c r="B24" i="17"/>
  <c r="B25" i="17"/>
  <c r="B26" i="17"/>
  <c r="B27" i="17"/>
  <c r="B22" i="17"/>
  <c r="H5" i="17" a="1"/>
  <c r="H6" i="17" a="1"/>
  <c r="H7" i="17" a="1"/>
  <c r="H8" i="17" a="1"/>
  <c r="H9" i="17" a="1"/>
  <c r="H4" i="17" a="1"/>
  <c r="G4" i="17"/>
  <c r="G8" i="17"/>
  <c r="G5" i="17"/>
  <c r="G6" i="17"/>
  <c r="G7" i="17"/>
  <c r="G9" i="17"/>
  <c r="C5" i="17"/>
  <c r="D5" i="17" s="1"/>
  <c r="C6" i="17"/>
  <c r="D6" i="17" s="1"/>
  <c r="C7" i="17"/>
  <c r="D7" i="17" s="1"/>
  <c r="C8" i="17"/>
  <c r="D8" i="17" s="1"/>
  <c r="C9" i="17"/>
  <c r="C10" i="17"/>
  <c r="C11" i="17"/>
  <c r="C12" i="17"/>
  <c r="D12" i="17" s="1"/>
  <c r="C13" i="17"/>
  <c r="C14" i="17"/>
  <c r="C15" i="17"/>
  <c r="C16" i="17"/>
  <c r="C17" i="17"/>
  <c r="C4" i="17"/>
  <c r="D4" i="17" s="1"/>
  <c r="B17" i="17"/>
  <c r="B16" i="17"/>
  <c r="B15" i="17"/>
  <c r="B14" i="17"/>
  <c r="B13" i="17"/>
  <c r="B12" i="17"/>
  <c r="B11" i="17"/>
  <c r="B10" i="17"/>
  <c r="B9" i="17"/>
  <c r="B8" i="17"/>
  <c r="B7" i="17"/>
  <c r="B6" i="17"/>
  <c r="B5" i="17"/>
  <c r="B4" i="17"/>
  <c r="B21" i="16" a="1"/>
  <c r="B22" i="16" a="1"/>
  <c r="B23" i="16" a="1"/>
  <c r="B20" i="16" a="1"/>
  <c r="B24" i="16" a="1"/>
  <c r="E12" i="16" a="1"/>
  <c r="E10" i="16" a="1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00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86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72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58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44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30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16" i="13"/>
  <c r="H3" i="13"/>
  <c r="H4" i="13"/>
  <c r="H5" i="13"/>
  <c r="H6" i="13"/>
  <c r="H7" i="13"/>
  <c r="H8" i="13"/>
  <c r="H9" i="13"/>
  <c r="H10" i="13"/>
  <c r="H11" i="13"/>
  <c r="H12" i="13"/>
  <c r="H13" i="13"/>
  <c r="H14" i="13"/>
  <c r="H15" i="13"/>
  <c r="H2" i="13"/>
  <c r="E11" i="16" a="1"/>
  <c r="B17" i="16" a="1"/>
  <c r="B16" i="16" a="1"/>
  <c r="B15" i="16" a="1"/>
  <c r="B14" i="16" a="1"/>
  <c r="B13" i="16" a="1"/>
  <c r="B12" i="16" a="1"/>
  <c r="B11" i="16" a="1"/>
  <c r="B10" i="16" a="1"/>
  <c r="C28" i="17" l="1"/>
  <c r="B28" i="17"/>
  <c r="D11" i="17"/>
  <c r="D13" i="17"/>
  <c r="D14" i="17"/>
  <c r="D15" i="17"/>
  <c r="D16" i="17"/>
  <c r="D17" i="17"/>
  <c r="I5" i="17"/>
  <c r="I7" i="17"/>
  <c r="I8" i="17"/>
  <c r="I4" i="17"/>
  <c r="I6" i="17"/>
  <c r="I9" i="17"/>
  <c r="D9" i="17"/>
  <c r="D10" i="17"/>
  <c r="E13" i="16" a="1"/>
  <c r="E14" i="16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<sst xmlns="http://schemas.openxmlformats.org/spreadsheetml/2006/main" count="4135" uniqueCount="182">
  <si>
    <t>Year</t>
  </si>
  <si>
    <t>Quarter</t>
  </si>
  <si>
    <t>GDPGrowthPct</t>
  </si>
  <si>
    <t>InflationPct</t>
  </si>
  <si>
    <t>InterestRatePct</t>
  </si>
  <si>
    <t>FuelPriceIndex</t>
  </si>
  <si>
    <t>Q1</t>
  </si>
  <si>
    <t>Q2</t>
  </si>
  <si>
    <t>Q3</t>
  </si>
  <si>
    <t>Q4</t>
  </si>
  <si>
    <t>SegmentNo</t>
  </si>
  <si>
    <t>Segment</t>
  </si>
  <si>
    <t>PreferredVehicleClasses</t>
  </si>
  <si>
    <t>HotButtons</t>
  </si>
  <si>
    <t>Value Seekers</t>
  </si>
  <si>
    <t>Economy, Truck</t>
  </si>
  <si>
    <t>Price, Economy</t>
  </si>
  <si>
    <t>Families</t>
  </si>
  <si>
    <t>Family, Economy, Minivan</t>
  </si>
  <si>
    <t>Safety, Size, Quality</t>
  </si>
  <si>
    <t>Singles</t>
  </si>
  <si>
    <t>Utility, Truck, Sports</t>
  </si>
  <si>
    <t>Styling, Performance</t>
  </si>
  <si>
    <t>High Income</t>
  </si>
  <si>
    <t>Family, Luxury, Sports, Minivan</t>
  </si>
  <si>
    <t>Quality, Styling, Performance</t>
  </si>
  <si>
    <t>Enterprisers</t>
  </si>
  <si>
    <t>Utility, Luxury</t>
  </si>
  <si>
    <t>Performance, Utility, Quality</t>
  </si>
  <si>
    <t>Microsegment</t>
  </si>
  <si>
    <t>PreferredVehicleClass</t>
  </si>
  <si>
    <t>ClassCode</t>
  </si>
  <si>
    <t>1E</t>
  </si>
  <si>
    <t>Economy</t>
  </si>
  <si>
    <t>E</t>
  </si>
  <si>
    <t>1T</t>
  </si>
  <si>
    <t>Truck</t>
  </si>
  <si>
    <t>T</t>
  </si>
  <si>
    <t>2F</t>
  </si>
  <si>
    <t>Family</t>
  </si>
  <si>
    <t>F</t>
  </si>
  <si>
    <t>2E</t>
  </si>
  <si>
    <t>2M</t>
  </si>
  <si>
    <t>Minivan</t>
  </si>
  <si>
    <t>M</t>
  </si>
  <si>
    <t>3U</t>
  </si>
  <si>
    <t>Utility</t>
  </si>
  <si>
    <t>U</t>
  </si>
  <si>
    <t>3T</t>
  </si>
  <si>
    <t>3S</t>
  </si>
  <si>
    <t>Sports</t>
  </si>
  <si>
    <t>S</t>
  </si>
  <si>
    <t>4F</t>
  </si>
  <si>
    <t>4L</t>
  </si>
  <si>
    <t>Luxury</t>
  </si>
  <si>
    <t>L</t>
  </si>
  <si>
    <t>4S</t>
  </si>
  <si>
    <t>4M</t>
  </si>
  <si>
    <t>5U</t>
  </si>
  <si>
    <t>5L</t>
  </si>
  <si>
    <t>VehicleClass</t>
  </si>
  <si>
    <t>PredictedSales000s</t>
  </si>
  <si>
    <t>ActualSales000s</t>
  </si>
  <si>
    <t>Firm</t>
  </si>
  <si>
    <t>Product</t>
  </si>
  <si>
    <t>MarketShare</t>
  </si>
  <si>
    <t>UnitSales000s</t>
  </si>
  <si>
    <t>Firm D</t>
  </si>
  <si>
    <t>Delite</t>
  </si>
  <si>
    <t>Firm E</t>
  </si>
  <si>
    <t>Econo</t>
  </si>
  <si>
    <t>Firm A</t>
  </si>
  <si>
    <t>Alec</t>
  </si>
  <si>
    <t>Firm B</t>
  </si>
  <si>
    <t>Breeze</t>
  </si>
  <si>
    <t>Estruck</t>
  </si>
  <si>
    <t>Detonka</t>
  </si>
  <si>
    <t>Brute</t>
  </si>
  <si>
    <t>Alfa</t>
  </si>
  <si>
    <t>Firm C</t>
  </si>
  <si>
    <t>Cafav</t>
  </si>
  <si>
    <t>Defy</t>
  </si>
  <si>
    <t>Efizz</t>
  </si>
  <si>
    <t>Boffo</t>
  </si>
  <si>
    <t>Camini</t>
  </si>
  <si>
    <t>Espace</t>
  </si>
  <si>
    <t>Atlas</t>
  </si>
  <si>
    <t>Euro</t>
  </si>
  <si>
    <t>Cruise</t>
  </si>
  <si>
    <t>Dventure</t>
  </si>
  <si>
    <t>Awesome</t>
  </si>
  <si>
    <t>Corsa</t>
  </si>
  <si>
    <t>Buzzy</t>
  </si>
  <si>
    <t>Apex</t>
  </si>
  <si>
    <t>Beaut</t>
  </si>
  <si>
    <t>Climax</t>
  </si>
  <si>
    <t>Dynamo</t>
  </si>
  <si>
    <t>Vehicle</t>
  </si>
  <si>
    <t>Size</t>
  </si>
  <si>
    <t>Horsepower</t>
  </si>
  <si>
    <t>Interior</t>
  </si>
  <si>
    <t>Styling</t>
  </si>
  <si>
    <t>Safety</t>
  </si>
  <si>
    <t>Quality</t>
  </si>
  <si>
    <t>EventID</t>
  </si>
  <si>
    <t>EventName</t>
  </si>
  <si>
    <t>AffectedArea</t>
  </si>
  <si>
    <t>ImpactDirection</t>
  </si>
  <si>
    <t>Description</t>
  </si>
  <si>
    <t>E01</t>
  </si>
  <si>
    <t>Fuel price increase</t>
  </si>
  <si>
    <t>Economy / Utility / Truck</t>
  </si>
  <si>
    <t>Mixed</t>
  </si>
  <si>
    <t>Higher fuel costs increase price sensitivity and support efficient vehicles.</t>
  </si>
  <si>
    <t>E02</t>
  </si>
  <si>
    <t>Consumer confidence improvement</t>
  </si>
  <si>
    <t>Market</t>
  </si>
  <si>
    <t>Positive</t>
  </si>
  <si>
    <t>Improved confidence supports vehicle sales.</t>
  </si>
  <si>
    <t>E03</t>
  </si>
  <si>
    <t>Financing conditions ease</t>
  </si>
  <si>
    <t>Lower financing pressure supports higher-ticket purchases.</t>
  </si>
  <si>
    <t>E04</t>
  </si>
  <si>
    <t>Component supply pressure</t>
  </si>
  <si>
    <t>Manufacturing</t>
  </si>
  <si>
    <t>Negative</t>
  </si>
  <si>
    <t>Temporary component pressure increases lost-sales risk.</t>
  </si>
  <si>
    <t>MARKET LOOKUP</t>
  </si>
  <si>
    <t>VEHICLE INFORMATION</t>
  </si>
  <si>
    <t>Vehicle Class</t>
  </si>
  <si>
    <t>Starting MSRP</t>
  </si>
  <si>
    <t>MARKET POSITION</t>
  </si>
  <si>
    <t>QoQ Demand Growth</t>
  </si>
  <si>
    <t>YoY Demand Growth</t>
  </si>
  <si>
    <t>ECONOMIC CONDITIONS</t>
  </si>
  <si>
    <t>GDP Growth</t>
  </si>
  <si>
    <t>Inflation</t>
  </si>
  <si>
    <t>Interest Rate</t>
  </si>
  <si>
    <t>Fuel Price</t>
  </si>
  <si>
    <t>Vehicle Demand</t>
  </si>
  <si>
    <t>Microsegment Share</t>
  </si>
  <si>
    <t>Market Share</t>
  </si>
  <si>
    <t>MicrosegmentShare</t>
  </si>
  <si>
    <t>UnemploymentRate</t>
  </si>
  <si>
    <t>Unemployment Rate</t>
  </si>
  <si>
    <t>MARKET DEMAND ANALYSIS</t>
  </si>
  <si>
    <t>Year 1 Demand</t>
  </si>
  <si>
    <t>Year 2 Demand</t>
  </si>
  <si>
    <t xml:space="preserve">YoY Growth </t>
  </si>
  <si>
    <t>VEHICLE PRICING ANALYSIS</t>
  </si>
  <si>
    <t>Market Avg MSRP</t>
  </si>
  <si>
    <t>Firm C MSRP</t>
  </si>
  <si>
    <t>Price Difference</t>
  </si>
  <si>
    <t>MSRP</t>
  </si>
  <si>
    <t>COMPETITOR ANALYSIS</t>
  </si>
  <si>
    <t>Total</t>
  </si>
  <si>
    <t>(All)</t>
  </si>
  <si>
    <t>Column Labels</t>
  </si>
  <si>
    <t>Grand Total</t>
  </si>
  <si>
    <t>Row Labels</t>
  </si>
  <si>
    <t>Sum of ActualSales000s</t>
  </si>
  <si>
    <t>Period</t>
  </si>
  <si>
    <t>Y1Q1</t>
  </si>
  <si>
    <t>Y1Q2</t>
  </si>
  <si>
    <t>Y1Q3</t>
  </si>
  <si>
    <t>Y1Q4</t>
  </si>
  <si>
    <t>Period_Index</t>
  </si>
  <si>
    <t>VehicleKey</t>
  </si>
  <si>
    <t>VehicleQuarter</t>
  </si>
  <si>
    <t>SourceTable</t>
  </si>
  <si>
    <t>SourceKey</t>
  </si>
  <si>
    <t>TargetTable</t>
  </si>
  <si>
    <t>TargetKey</t>
  </si>
  <si>
    <t>Relationship</t>
  </si>
  <si>
    <t xml:space="preserve">Notes </t>
  </si>
  <si>
    <t>DimQuarter</t>
  </si>
  <si>
    <t>FactVehicleQuarter</t>
  </si>
  <si>
    <t>1:M</t>
  </si>
  <si>
    <t>DimVehicle</t>
  </si>
  <si>
    <t>FactMicrosegmentSales</t>
  </si>
  <si>
    <t>DimMicrosegment</t>
  </si>
  <si>
    <t>MicrosegmentKey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</si>
</sst>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%"/>
    <numFmt numFmtId="165" formatCode="&quot;$&quot;#,##0.00"/>
  </numFmts>
  <fonts count="3">
    <font>
      <sz val="11"/>
      <name val="Carlito"/>
    </font>
    <font>
      <b/>
      <sz val="11"/>
      <name val="Carlito"/>
    </font>
    <font>
      <sz val="11"/>
      <name val="Carlito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9" fontId="1" fillId="0" borderId="0" xfId="2" applyFont="1"/>
    <xf numFmtId="9" fontId="0" fillId="0" borderId="0" xfId="2" applyFont="1"/>
    <xf numFmtId="9" fontId="0" fillId="0" borderId="0" xfId="0" applyNumberFormat="1"/>
    <xf numFmtId="164" fontId="0" fillId="0" borderId="0" xfId="2" applyNumberFormat="1" applyFont="1"/>
    <xf numFmtId="10" fontId="1" fillId="0" borderId="0" xfId="2" applyNumberFormat="1" applyFont="1"/>
    <xf numFmtId="10" fontId="0" fillId="0" borderId="0" xfId="2" applyNumberFormat="1" applyFont="1"/>
    <xf numFmtId="165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Border="1"/>
    <xf numFmtId="0" fontId="1" fillId="0" borderId="1" xfId="0" applyFont="1" applyBorder="1"/>
    <xf numFmtId="0" fontId="1" fillId="0" borderId="2" xfId="0" applyFont="1" applyBorder="1"/>
    <xf numFmtId="10" fontId="1" fillId="0" borderId="3" xfId="2" applyNumberFormat="1" applyFont="1" applyBorder="1"/>
    <xf numFmtId="0" fontId="0" fillId="0" borderId="4" xfId="0" applyBorder="1"/>
    <xf numFmtId="10" fontId="0" fillId="0" borderId="5" xfId="2" applyNumberFormat="1" applyFont="1" applyBorder="1"/>
    <xf numFmtId="0" fontId="0" fillId="0" borderId="6" xfId="0" applyBorder="1"/>
    <xf numFmtId="0" fontId="0" fillId="0" borderId="7" xfId="0" applyBorder="1"/>
    <xf numFmtId="10" fontId="0" fillId="0" borderId="8" xfId="2" applyNumberFormat="1" applyFont="1" applyBorder="1"/>
    <xf numFmtId="0" fontId="1" fillId="0" borderId="3" xfId="0" applyFont="1" applyBorder="1"/>
    <xf numFmtId="44" fontId="0" fillId="0" borderId="0" xfId="1" applyFont="1" applyBorder="1"/>
    <xf numFmtId="0" fontId="0" fillId="0" borderId="5" xfId="0" applyBorder="1"/>
    <xf numFmtId="44" fontId="0" fillId="0" borderId="7" xfId="1" applyFont="1" applyBorder="1"/>
    <xf numFmtId="10" fontId="1" fillId="0" borderId="2" xfId="2" applyNumberFormat="1" applyFont="1" applyBorder="1"/>
    <xf numFmtId="0" fontId="0" fillId="0" borderId="8" xfId="0" applyBorder="1"/>
  </cellXfs>
  <cellStyles count="3">
    <cellStyle name="Currency" xfId="1" builtinId="4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[Market_Data.xlsx]Market_Sales!PivotTable2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/>
              <a:t>Quarterly Automotive Sales by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Market_Sales!$K$3:$K$4</c:f>
              <c:strCache>
                <c:ptCount val="1"/>
                <c:pt idx="0">
                  <c:v>Enterprisers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Market_Sales!$J$5:$J$15</c:f>
              <c:multiLvlStrCache>
                <c:ptCount val="8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1</c:v>
                  </c:pt>
                  <c:pt idx="4">
                    <c:v>2</c:v>
                  </c:pt>
                </c:lvl>
              </c:multiLvlStrCache>
            </c:multiLvlStrRef>
          </c:cat>
          <c:val>
            <c:numRef>
              <c:f>Market_Sales!$K$5:$K$15</c:f>
              <c:numCache>
                <c:formatCode>General</c:formatCode>
                <c:ptCount val="8"/>
                <c:pt idx="0">
                  <c:v>157</c:v>
                </c:pt>
                <c:pt idx="1">
                  <c:v>169</c:v>
                </c:pt>
                <c:pt idx="2">
                  <c:v>170</c:v>
                </c:pt>
                <c:pt idx="3">
                  <c:v>161</c:v>
                </c:pt>
                <c:pt idx="4">
                  <c:v>172</c:v>
                </c:pt>
                <c:pt idx="5">
                  <c:v>180</c:v>
                </c:pt>
                <c:pt idx="6">
                  <c:v>185</c:v>
                </c:pt>
                <c:pt idx="7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88-4D47-8F53-550F24116F42}"/>
            </c:ext>
          </c:extLst>
        </c:ser>
        <c:ser>
          <c:idx val="1"/>
          <c:order val="1"/>
          <c:tx>
            <c:strRef>
              <c:f>Market_Sales!$L$3:$L$4</c:f>
              <c:strCache>
                <c:ptCount val="1"/>
                <c:pt idx="0">
                  <c:v>Families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Market_Sales!$J$5:$J$15</c:f>
              <c:multiLvlStrCache>
                <c:ptCount val="8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1</c:v>
                  </c:pt>
                  <c:pt idx="4">
                    <c:v>2</c:v>
                  </c:pt>
                </c:lvl>
              </c:multiLvlStrCache>
            </c:multiLvlStrRef>
          </c:cat>
          <c:val>
            <c:numRef>
              <c:f>Market_Sales!$L$5:$L$15</c:f>
              <c:numCache>
                <c:formatCode>General</c:formatCode>
                <c:ptCount val="8"/>
                <c:pt idx="0">
                  <c:v>459</c:v>
                </c:pt>
                <c:pt idx="1">
                  <c:v>457</c:v>
                </c:pt>
                <c:pt idx="2">
                  <c:v>468</c:v>
                </c:pt>
                <c:pt idx="3">
                  <c:v>482</c:v>
                </c:pt>
                <c:pt idx="4">
                  <c:v>489</c:v>
                </c:pt>
                <c:pt idx="5">
                  <c:v>492</c:v>
                </c:pt>
                <c:pt idx="6">
                  <c:v>500</c:v>
                </c:pt>
                <c:pt idx="7">
                  <c:v>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88-4D47-8F53-550F24116F42}"/>
            </c:ext>
          </c:extLst>
        </c:ser>
        <c:ser>
          <c:idx val="2"/>
          <c:order val="2"/>
          <c:tx>
            <c:strRef>
              <c:f>Market_Sales!$M$3:$M$4</c:f>
              <c:strCache>
                <c:ptCount val="1"/>
                <c:pt idx="0">
                  <c:v>High Income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Market_Sales!$J$5:$J$15</c:f>
              <c:multiLvlStrCache>
                <c:ptCount val="8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1</c:v>
                  </c:pt>
                  <c:pt idx="4">
                    <c:v>2</c:v>
                  </c:pt>
                </c:lvl>
              </c:multiLvlStrCache>
            </c:multiLvlStrRef>
          </c:cat>
          <c:val>
            <c:numRef>
              <c:f>Market_Sales!$M$5:$M$15</c:f>
              <c:numCache>
                <c:formatCode>General</c:formatCode>
                <c:ptCount val="8"/>
                <c:pt idx="0">
                  <c:v>232</c:v>
                </c:pt>
                <c:pt idx="1">
                  <c:v>245</c:v>
                </c:pt>
                <c:pt idx="2">
                  <c:v>244</c:v>
                </c:pt>
                <c:pt idx="3">
                  <c:v>249</c:v>
                </c:pt>
                <c:pt idx="4">
                  <c:v>258</c:v>
                </c:pt>
                <c:pt idx="5">
                  <c:v>256</c:v>
                </c:pt>
                <c:pt idx="6">
                  <c:v>271</c:v>
                </c:pt>
                <c:pt idx="7">
                  <c:v>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88-4D47-8F53-550F24116F42}"/>
            </c:ext>
          </c:extLst>
        </c:ser>
        <c:ser>
          <c:idx val="3"/>
          <c:order val="3"/>
          <c:tx>
            <c:strRef>
              <c:f>Market_Sales!$N$3:$N$4</c:f>
              <c:strCache>
                <c:ptCount val="1"/>
                <c:pt idx="0">
                  <c:v>Singles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Market_Sales!$J$5:$J$15</c:f>
              <c:multiLvlStrCache>
                <c:ptCount val="8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1</c:v>
                  </c:pt>
                  <c:pt idx="4">
                    <c:v>2</c:v>
                  </c:pt>
                </c:lvl>
              </c:multiLvlStrCache>
            </c:multiLvlStrRef>
          </c:cat>
          <c:val>
            <c:numRef>
              <c:f>Market_Sales!$N$5:$N$15</c:f>
              <c:numCache>
                <c:formatCode>General</c:formatCode>
                <c:ptCount val="8"/>
                <c:pt idx="0">
                  <c:v>277</c:v>
                </c:pt>
                <c:pt idx="1">
                  <c:v>279</c:v>
                </c:pt>
                <c:pt idx="2">
                  <c:v>286</c:v>
                </c:pt>
                <c:pt idx="3">
                  <c:v>292</c:v>
                </c:pt>
                <c:pt idx="4">
                  <c:v>295</c:v>
                </c:pt>
                <c:pt idx="5">
                  <c:v>301</c:v>
                </c:pt>
                <c:pt idx="6">
                  <c:v>312</c:v>
                </c:pt>
                <c:pt idx="7">
                  <c:v>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88-4D47-8F53-550F24116F42}"/>
            </c:ext>
          </c:extLst>
        </c:ser>
        <c:ser>
          <c:idx val="4"/>
          <c:order val="4"/>
          <c:tx>
            <c:strRef>
              <c:f>Market_Sales!$O$3:$O$4</c:f>
              <c:strCache>
                <c:ptCount val="1"/>
                <c:pt idx="0">
                  <c:v>Value Seekers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Market_Sales!$J$5:$J$15</c:f>
              <c:multiLvlStrCache>
                <c:ptCount val="8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1</c:v>
                  </c:pt>
                  <c:pt idx="4">
                    <c:v>2</c:v>
                  </c:pt>
                </c:lvl>
              </c:multiLvlStrCache>
            </c:multiLvlStrRef>
          </c:cat>
          <c:val>
            <c:numRef>
              <c:f>Market_Sales!$O$5:$O$15</c:f>
              <c:numCache>
                <c:formatCode>General</c:formatCode>
                <c:ptCount val="8"/>
                <c:pt idx="0">
                  <c:v>243</c:v>
                </c:pt>
                <c:pt idx="1">
                  <c:v>239</c:v>
                </c:pt>
                <c:pt idx="2">
                  <c:v>234</c:v>
                </c:pt>
                <c:pt idx="3">
                  <c:v>241</c:v>
                </c:pt>
                <c:pt idx="4">
                  <c:v>253</c:v>
                </c:pt>
                <c:pt idx="5">
                  <c:v>247</c:v>
                </c:pt>
                <c:pt idx="6">
                  <c:v>260</c:v>
                </c:pt>
                <c:pt idx="7">
                  <c:v>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88-4D47-8F53-550F24116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4021823"/>
        <c:axId val="974018687"/>
      </c:lineChart>
      <c:catAx>
        <c:axId val="97402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018687"/>
        <c:crosses val="autoZero"/>
        <c:auto val="1"/>
        <c:lblAlgn val="ctr"/>
        <c:lblOffset val="100"/>
        <c:noMultiLvlLbl val="0"/>
      </c:catAx>
      <c:valAx>
        <c:axId val="97401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021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266700</xdr:colOff>
      <xdr:row>16</xdr:row>
      <xdr:rowOff>171450</xdr:rowOff>
    </xdr:from>
    <xdr:to>
      <xdr:col>14</xdr:col>
      <xdr:colOff>635000</xdr:colOff>
      <xdr:row>31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095A2D-A02E-810F-1556-7F92FF90D6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rcy" refreshedDate="46288.100294328702" createdVersion="8" refreshedVersion="8" minRefreshableVersion="3" recordCount="112" xr:uid="{0035F7A6-C7A7-F54F-BA3F-4CAC0143B695}">
  <cacheSource type="worksheet">
    <worksheetSource ref="A1:H113" sheet="Market_Sales"/>
  </cacheSource>
  <cacheFields count="8">
    <cacheField name="Year" numFmtId="0">
      <sharedItems containsSemiMixedTypes="0" containsString="0" containsNumber="1" containsInteger="1" minValue="1" maxValue="2" count="2">
        <n v="1"/>
        <n v="2"/>
      </sharedItems>
    </cacheField>
    <cacheField name="Quarter" numFmtId="0">
      <sharedItems count="4">
        <s v="Q1"/>
        <s v="Q2"/>
        <s v="Q3"/>
        <s v="Q4"/>
      </sharedItems>
    </cacheField>
    <cacheField name="Microsegment" numFmtId="0">
      <sharedItems/>
    </cacheField>
    <cacheField name="Segment" numFmtId="0">
      <sharedItems count="5">
        <s v="Value Seekers"/>
        <s v="Families"/>
        <s v="Singles"/>
        <s v="High Income"/>
        <s v="Enterprisers"/>
      </sharedItems>
    </cacheField>
    <cacheField name="VehicleClass" numFmtId="0">
      <sharedItems count="7">
        <s v="Economy"/>
        <s v="Truck"/>
        <s v="Family"/>
        <s v="Minivan"/>
        <s v="Utility"/>
        <s v="Sports"/>
        <s v="Luxury"/>
      </sharedItems>
    </cacheField>
    <cacheField name="PredictedSales000s" numFmtId="0">
      <sharedItems containsSemiMixedTypes="0" containsString="0" containsNumber="1" containsInteger="1" minValue="42" maxValue="259"/>
    </cacheField>
    <cacheField name="ActualSales000s" numFmtId="0">
      <sharedItems containsSemiMixedTypes="0" containsString="0" containsNumber="1" containsInteger="1" minValue="42" maxValue="275"/>
    </cacheField>
    <cacheField name="MarketShare" numFmtId="10">
      <sharedItems containsSemiMixedTypes="0" containsString="0" containsNumber="1" minValue="2.9145077720207253E-2" maxValue="0.178108808290155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x v="0"/>
    <x v="0"/>
    <s v="1E"/>
    <x v="0"/>
    <x v="0"/>
    <n v="150"/>
    <n v="156"/>
    <n v="0.11403508771929824"/>
  </r>
  <r>
    <x v="0"/>
    <x v="0"/>
    <s v="1T"/>
    <x v="0"/>
    <x v="1"/>
    <n v="82"/>
    <n v="87"/>
    <n v="6.3596491228070179E-2"/>
  </r>
  <r>
    <x v="0"/>
    <x v="0"/>
    <s v="2F"/>
    <x v="1"/>
    <x v="2"/>
    <n v="230"/>
    <n v="232"/>
    <n v="0.16959064327485379"/>
  </r>
  <r>
    <x v="0"/>
    <x v="0"/>
    <s v="2E"/>
    <x v="1"/>
    <x v="0"/>
    <n v="105"/>
    <n v="111"/>
    <n v="8.1140350877192985E-2"/>
  </r>
  <r>
    <x v="0"/>
    <x v="0"/>
    <s v="2M"/>
    <x v="1"/>
    <x v="3"/>
    <n v="112"/>
    <n v="116"/>
    <n v="8.4795321637426896E-2"/>
  </r>
  <r>
    <x v="0"/>
    <x v="0"/>
    <s v="3U"/>
    <x v="2"/>
    <x v="4"/>
    <n v="118"/>
    <n v="118"/>
    <n v="8.6257309941520463E-2"/>
  </r>
  <r>
    <x v="0"/>
    <x v="0"/>
    <s v="3T"/>
    <x v="2"/>
    <x v="1"/>
    <n v="84"/>
    <n v="88"/>
    <n v="6.4327485380116955E-2"/>
  </r>
  <r>
    <x v="0"/>
    <x v="0"/>
    <s v="3S"/>
    <x v="2"/>
    <x v="5"/>
    <n v="74"/>
    <n v="71"/>
    <n v="5.1900584795321635E-2"/>
  </r>
  <r>
    <x v="0"/>
    <x v="0"/>
    <s v="4F"/>
    <x v="3"/>
    <x v="2"/>
    <n v="65"/>
    <n v="63"/>
    <n v="4.6052631578947366E-2"/>
  </r>
  <r>
    <x v="0"/>
    <x v="0"/>
    <s v="4L"/>
    <x v="3"/>
    <x v="6"/>
    <n v="76"/>
    <n v="73"/>
    <n v="5.3362573099415202E-2"/>
  </r>
  <r>
    <x v="0"/>
    <x v="0"/>
    <s v="4S"/>
    <x v="3"/>
    <x v="5"/>
    <n v="56"/>
    <n v="54"/>
    <n v="3.9473684210526314E-2"/>
  </r>
  <r>
    <x v="0"/>
    <x v="0"/>
    <s v="4M"/>
    <x v="3"/>
    <x v="3"/>
    <n v="42"/>
    <n v="42"/>
    <n v="3.0701754385964911E-2"/>
  </r>
  <r>
    <x v="0"/>
    <x v="0"/>
    <s v="5U"/>
    <x v="4"/>
    <x v="4"/>
    <n v="96"/>
    <n v="92"/>
    <n v="6.725146198830409E-2"/>
  </r>
  <r>
    <x v="0"/>
    <x v="0"/>
    <s v="5L"/>
    <x v="4"/>
    <x v="6"/>
    <n v="64"/>
    <n v="65"/>
    <n v="4.7514619883040933E-2"/>
  </r>
  <r>
    <x v="0"/>
    <x v="1"/>
    <s v="1E"/>
    <x v="0"/>
    <x v="0"/>
    <n v="153"/>
    <n v="152"/>
    <n v="0.10943124550035997"/>
  </r>
  <r>
    <x v="0"/>
    <x v="1"/>
    <s v="1T"/>
    <x v="0"/>
    <x v="1"/>
    <n v="83"/>
    <n v="87"/>
    <n v="6.2634989200863925E-2"/>
  </r>
  <r>
    <x v="0"/>
    <x v="1"/>
    <s v="2F"/>
    <x v="1"/>
    <x v="2"/>
    <n v="234"/>
    <n v="240"/>
    <n v="0.17278617710583152"/>
  </r>
  <r>
    <x v="0"/>
    <x v="1"/>
    <s v="2E"/>
    <x v="1"/>
    <x v="0"/>
    <n v="107"/>
    <n v="101"/>
    <n v="7.2714182865370777E-2"/>
  </r>
  <r>
    <x v="0"/>
    <x v="1"/>
    <s v="2M"/>
    <x v="1"/>
    <x v="3"/>
    <n v="114"/>
    <n v="116"/>
    <n v="8.3513318934485242E-2"/>
  </r>
  <r>
    <x v="0"/>
    <x v="1"/>
    <s v="3U"/>
    <x v="2"/>
    <x v="4"/>
    <n v="120"/>
    <n v="115"/>
    <n v="8.2793376529877616E-2"/>
  </r>
  <r>
    <x v="0"/>
    <x v="1"/>
    <s v="3T"/>
    <x v="2"/>
    <x v="1"/>
    <n v="86"/>
    <n v="86"/>
    <n v="6.1915046796256298E-2"/>
  </r>
  <r>
    <x v="0"/>
    <x v="1"/>
    <s v="3S"/>
    <x v="2"/>
    <x v="5"/>
    <n v="75"/>
    <n v="78"/>
    <n v="5.6155507559395246E-2"/>
  </r>
  <r>
    <x v="0"/>
    <x v="1"/>
    <s v="4F"/>
    <x v="3"/>
    <x v="2"/>
    <n v="66"/>
    <n v="67"/>
    <n v="4.82361411087113E-2"/>
  </r>
  <r>
    <x v="0"/>
    <x v="1"/>
    <s v="4L"/>
    <x v="3"/>
    <x v="6"/>
    <n v="77"/>
    <n v="77"/>
    <n v="5.5435565154787619E-2"/>
  </r>
  <r>
    <x v="0"/>
    <x v="1"/>
    <s v="4S"/>
    <x v="3"/>
    <x v="5"/>
    <n v="57"/>
    <n v="58"/>
    <n v="4.1756659467242621E-2"/>
  </r>
  <r>
    <x v="0"/>
    <x v="1"/>
    <s v="4M"/>
    <x v="3"/>
    <x v="3"/>
    <n v="43"/>
    <n v="43"/>
    <n v="3.0957523398128149E-2"/>
  </r>
  <r>
    <x v="0"/>
    <x v="1"/>
    <s v="5U"/>
    <x v="4"/>
    <x v="4"/>
    <n v="98"/>
    <n v="103"/>
    <n v="7.415406767458603E-2"/>
  </r>
  <r>
    <x v="0"/>
    <x v="1"/>
    <s v="5L"/>
    <x v="4"/>
    <x v="6"/>
    <n v="65"/>
    <n v="66"/>
    <n v="4.7516198704103674E-2"/>
  </r>
  <r>
    <x v="0"/>
    <x v="2"/>
    <s v="1E"/>
    <x v="0"/>
    <x v="0"/>
    <n v="155"/>
    <n v="150"/>
    <n v="0.10699001426533523"/>
  </r>
  <r>
    <x v="0"/>
    <x v="2"/>
    <s v="1T"/>
    <x v="0"/>
    <x v="1"/>
    <n v="85"/>
    <n v="84"/>
    <n v="5.9914407988587728E-2"/>
  </r>
  <r>
    <x v="0"/>
    <x v="2"/>
    <s v="2F"/>
    <x v="1"/>
    <x v="2"/>
    <n v="238"/>
    <n v="243"/>
    <n v="0.17332382310984309"/>
  </r>
  <r>
    <x v="0"/>
    <x v="2"/>
    <s v="2E"/>
    <x v="1"/>
    <x v="0"/>
    <n v="109"/>
    <n v="115"/>
    <n v="8.2025677603423677E-2"/>
  </r>
  <r>
    <x v="0"/>
    <x v="2"/>
    <s v="2M"/>
    <x v="1"/>
    <x v="3"/>
    <n v="116"/>
    <n v="110"/>
    <n v="7.8459343794579167E-2"/>
  </r>
  <r>
    <x v="0"/>
    <x v="2"/>
    <s v="3U"/>
    <x v="2"/>
    <x v="4"/>
    <n v="122"/>
    <n v="120"/>
    <n v="8.5592011412268187E-2"/>
  </r>
  <r>
    <x v="0"/>
    <x v="2"/>
    <s v="3T"/>
    <x v="2"/>
    <x v="1"/>
    <n v="87"/>
    <n v="92"/>
    <n v="6.5620542082738945E-2"/>
  </r>
  <r>
    <x v="0"/>
    <x v="2"/>
    <s v="3S"/>
    <x v="2"/>
    <x v="5"/>
    <n v="77"/>
    <n v="74"/>
    <n v="5.2781740370898715E-2"/>
  </r>
  <r>
    <x v="0"/>
    <x v="2"/>
    <s v="4F"/>
    <x v="3"/>
    <x v="2"/>
    <n v="67"/>
    <n v="69"/>
    <n v="4.9215406562054205E-2"/>
  </r>
  <r>
    <x v="0"/>
    <x v="2"/>
    <s v="4L"/>
    <x v="3"/>
    <x v="6"/>
    <n v="79"/>
    <n v="76"/>
    <n v="5.4208273894436519E-2"/>
  </r>
  <r>
    <x v="0"/>
    <x v="2"/>
    <s v="4S"/>
    <x v="3"/>
    <x v="5"/>
    <n v="58"/>
    <n v="57"/>
    <n v="4.0656205420827388E-2"/>
  </r>
  <r>
    <x v="0"/>
    <x v="2"/>
    <s v="4M"/>
    <x v="3"/>
    <x v="3"/>
    <n v="44"/>
    <n v="42"/>
    <n v="2.9957203994293864E-2"/>
  </r>
  <r>
    <x v="0"/>
    <x v="2"/>
    <s v="5U"/>
    <x v="4"/>
    <x v="4"/>
    <n v="99"/>
    <n v="102"/>
    <n v="7.2753209700427965E-2"/>
  </r>
  <r>
    <x v="0"/>
    <x v="2"/>
    <s v="5L"/>
    <x v="4"/>
    <x v="6"/>
    <n v="66"/>
    <n v="68"/>
    <n v="4.850213980028531E-2"/>
  </r>
  <r>
    <x v="0"/>
    <x v="3"/>
    <s v="1E"/>
    <x v="0"/>
    <x v="0"/>
    <n v="158"/>
    <n v="157"/>
    <n v="0.11017543859649123"/>
  </r>
  <r>
    <x v="0"/>
    <x v="3"/>
    <s v="1T"/>
    <x v="0"/>
    <x v="1"/>
    <n v="86"/>
    <n v="84"/>
    <n v="5.894736842105263E-2"/>
  </r>
  <r>
    <x v="0"/>
    <x v="3"/>
    <s v="2F"/>
    <x v="1"/>
    <x v="2"/>
    <n v="242"/>
    <n v="250"/>
    <n v="0.17543859649122806"/>
  </r>
  <r>
    <x v="0"/>
    <x v="3"/>
    <s v="2E"/>
    <x v="1"/>
    <x v="0"/>
    <n v="111"/>
    <n v="112"/>
    <n v="7.8596491228070178E-2"/>
  </r>
  <r>
    <x v="0"/>
    <x v="3"/>
    <s v="2M"/>
    <x v="1"/>
    <x v="3"/>
    <n v="118"/>
    <n v="120"/>
    <n v="8.4210526315789472E-2"/>
  </r>
  <r>
    <x v="0"/>
    <x v="3"/>
    <s v="3U"/>
    <x v="2"/>
    <x v="4"/>
    <n v="124"/>
    <n v="123"/>
    <n v="8.6315789473684207E-2"/>
  </r>
  <r>
    <x v="0"/>
    <x v="3"/>
    <s v="3T"/>
    <x v="2"/>
    <x v="1"/>
    <n v="89"/>
    <n v="86"/>
    <n v="6.0350877192982454E-2"/>
  </r>
  <r>
    <x v="0"/>
    <x v="3"/>
    <s v="3S"/>
    <x v="2"/>
    <x v="5"/>
    <n v="78"/>
    <n v="83"/>
    <n v="5.8245614035087719E-2"/>
  </r>
  <r>
    <x v="0"/>
    <x v="3"/>
    <s v="4F"/>
    <x v="3"/>
    <x v="2"/>
    <n v="69"/>
    <n v="71"/>
    <n v="4.9824561403508771E-2"/>
  </r>
  <r>
    <x v="0"/>
    <x v="3"/>
    <s v="4L"/>
    <x v="3"/>
    <x v="6"/>
    <n v="80"/>
    <n v="75"/>
    <n v="5.2631578947368418E-2"/>
  </r>
  <r>
    <x v="0"/>
    <x v="3"/>
    <s v="4S"/>
    <x v="3"/>
    <x v="5"/>
    <n v="59"/>
    <n v="59"/>
    <n v="4.1403508771929824E-2"/>
  </r>
  <r>
    <x v="0"/>
    <x v="3"/>
    <s v="4M"/>
    <x v="3"/>
    <x v="3"/>
    <n v="44"/>
    <n v="44"/>
    <n v="3.0877192982456142E-2"/>
  </r>
  <r>
    <x v="0"/>
    <x v="3"/>
    <s v="5U"/>
    <x v="4"/>
    <x v="4"/>
    <n v="101"/>
    <n v="95"/>
    <n v="6.6666666666666666E-2"/>
  </r>
  <r>
    <x v="0"/>
    <x v="3"/>
    <s v="5L"/>
    <x v="4"/>
    <x v="6"/>
    <n v="67"/>
    <n v="66"/>
    <n v="4.6315789473684213E-2"/>
  </r>
  <r>
    <x v="1"/>
    <x v="0"/>
    <s v="1E"/>
    <x v="0"/>
    <x v="0"/>
    <n v="161"/>
    <n v="169"/>
    <n v="0.11520109066121335"/>
  </r>
  <r>
    <x v="1"/>
    <x v="0"/>
    <s v="1T"/>
    <x v="0"/>
    <x v="1"/>
    <n v="88"/>
    <n v="84"/>
    <n v="5.7259713701431493E-2"/>
  </r>
  <r>
    <x v="1"/>
    <x v="0"/>
    <s v="2F"/>
    <x v="1"/>
    <x v="2"/>
    <n v="247"/>
    <n v="260"/>
    <n v="0.17723244717109748"/>
  </r>
  <r>
    <x v="1"/>
    <x v="0"/>
    <s v="2E"/>
    <x v="1"/>
    <x v="0"/>
    <n v="113"/>
    <n v="113"/>
    <n v="7.7027948193592363E-2"/>
  </r>
  <r>
    <x v="1"/>
    <x v="0"/>
    <s v="2M"/>
    <x v="1"/>
    <x v="3"/>
    <n v="120"/>
    <n v="116"/>
    <n v="7.9072937968643495E-2"/>
  </r>
  <r>
    <x v="1"/>
    <x v="0"/>
    <s v="3U"/>
    <x v="2"/>
    <x v="4"/>
    <n v="126"/>
    <n v="127"/>
    <n v="8.6571233810497611E-2"/>
  </r>
  <r>
    <x v="1"/>
    <x v="0"/>
    <s v="3T"/>
    <x v="2"/>
    <x v="1"/>
    <n v="90"/>
    <n v="92"/>
    <n v="6.2713019768234499E-2"/>
  </r>
  <r>
    <x v="1"/>
    <x v="0"/>
    <s v="3S"/>
    <x v="2"/>
    <x v="5"/>
    <n v="79"/>
    <n v="76"/>
    <n v="5.1806407634628494E-2"/>
  </r>
  <r>
    <x v="1"/>
    <x v="0"/>
    <s v="4F"/>
    <x v="3"/>
    <x v="2"/>
    <n v="70"/>
    <n v="74"/>
    <n v="5.0443081117927745E-2"/>
  </r>
  <r>
    <x v="1"/>
    <x v="0"/>
    <s v="4L"/>
    <x v="3"/>
    <x v="6"/>
    <n v="81"/>
    <n v="78"/>
    <n v="5.3169734151329244E-2"/>
  </r>
  <r>
    <x v="1"/>
    <x v="0"/>
    <s v="4S"/>
    <x v="3"/>
    <x v="5"/>
    <n v="60"/>
    <n v="63"/>
    <n v="4.2944785276073622E-2"/>
  </r>
  <r>
    <x v="1"/>
    <x v="0"/>
    <s v="4M"/>
    <x v="3"/>
    <x v="3"/>
    <n v="45"/>
    <n v="43"/>
    <n v="2.9311520109066121E-2"/>
  </r>
  <r>
    <x v="1"/>
    <x v="0"/>
    <s v="5U"/>
    <x v="4"/>
    <x v="4"/>
    <n v="103"/>
    <n v="101"/>
    <n v="6.8847989093387865E-2"/>
  </r>
  <r>
    <x v="1"/>
    <x v="0"/>
    <s v="5L"/>
    <x v="4"/>
    <x v="6"/>
    <n v="69"/>
    <n v="71"/>
    <n v="4.839809134287662E-2"/>
  </r>
  <r>
    <x v="1"/>
    <x v="1"/>
    <s v="1E"/>
    <x v="0"/>
    <x v="0"/>
    <n v="164"/>
    <n v="159"/>
    <n v="0.10772357723577236"/>
  </r>
  <r>
    <x v="1"/>
    <x v="1"/>
    <s v="1T"/>
    <x v="0"/>
    <x v="1"/>
    <n v="89"/>
    <n v="88"/>
    <n v="5.9620596205962058E-2"/>
  </r>
  <r>
    <x v="1"/>
    <x v="1"/>
    <s v="2F"/>
    <x v="1"/>
    <x v="2"/>
    <n v="251"/>
    <n v="257"/>
    <n v="0.17411924119241193"/>
  </r>
  <r>
    <x v="1"/>
    <x v="1"/>
    <s v="2E"/>
    <x v="1"/>
    <x v="0"/>
    <n v="114"/>
    <n v="109"/>
    <n v="7.3848238482384823E-2"/>
  </r>
  <r>
    <x v="1"/>
    <x v="1"/>
    <s v="2M"/>
    <x v="1"/>
    <x v="3"/>
    <n v="122"/>
    <n v="126"/>
    <n v="8.5365853658536592E-2"/>
  </r>
  <r>
    <x v="1"/>
    <x v="1"/>
    <s v="3U"/>
    <x v="2"/>
    <x v="4"/>
    <n v="129"/>
    <n v="126"/>
    <n v="8.5365853658536592E-2"/>
  </r>
  <r>
    <x v="1"/>
    <x v="1"/>
    <s v="3T"/>
    <x v="2"/>
    <x v="1"/>
    <n v="92"/>
    <n v="91"/>
    <n v="6.1653116531165314E-2"/>
  </r>
  <r>
    <x v="1"/>
    <x v="1"/>
    <s v="3S"/>
    <x v="2"/>
    <x v="5"/>
    <n v="81"/>
    <n v="84"/>
    <n v="5.6910569105691054E-2"/>
  </r>
  <r>
    <x v="1"/>
    <x v="1"/>
    <s v="4F"/>
    <x v="3"/>
    <x v="2"/>
    <n v="71"/>
    <n v="67"/>
    <n v="4.5392953929539293E-2"/>
  </r>
  <r>
    <x v="1"/>
    <x v="1"/>
    <s v="4L"/>
    <x v="3"/>
    <x v="6"/>
    <n v="83"/>
    <n v="83"/>
    <n v="5.6233062330623307E-2"/>
  </r>
  <r>
    <x v="1"/>
    <x v="1"/>
    <s v="4S"/>
    <x v="3"/>
    <x v="5"/>
    <n v="61"/>
    <n v="61"/>
    <n v="4.1327913279132794E-2"/>
  </r>
  <r>
    <x v="1"/>
    <x v="1"/>
    <s v="4M"/>
    <x v="3"/>
    <x v="3"/>
    <n v="46"/>
    <n v="45"/>
    <n v="3.048780487804878E-2"/>
  </r>
  <r>
    <x v="1"/>
    <x v="1"/>
    <s v="5U"/>
    <x v="4"/>
    <x v="4"/>
    <n v="105"/>
    <n v="110"/>
    <n v="7.4525745257452577E-2"/>
  </r>
  <r>
    <x v="1"/>
    <x v="1"/>
    <s v="5L"/>
    <x v="4"/>
    <x v="6"/>
    <n v="70"/>
    <n v="70"/>
    <n v="4.7425474254742549E-2"/>
  </r>
  <r>
    <x v="1"/>
    <x v="2"/>
    <s v="1E"/>
    <x v="0"/>
    <x v="0"/>
    <n v="166"/>
    <n v="172"/>
    <n v="0.112565445026178"/>
  </r>
  <r>
    <x v="1"/>
    <x v="2"/>
    <s v="1T"/>
    <x v="0"/>
    <x v="1"/>
    <n v="91"/>
    <n v="88"/>
    <n v="5.7591623036649213E-2"/>
  </r>
  <r>
    <x v="1"/>
    <x v="2"/>
    <s v="2F"/>
    <x v="1"/>
    <x v="2"/>
    <n v="255"/>
    <n v="261"/>
    <n v="0.17081151832460734"/>
  </r>
  <r>
    <x v="1"/>
    <x v="2"/>
    <s v="2E"/>
    <x v="1"/>
    <x v="0"/>
    <n v="116"/>
    <n v="111"/>
    <n v="7.2643979057591623E-2"/>
  </r>
  <r>
    <x v="1"/>
    <x v="2"/>
    <s v="2M"/>
    <x v="1"/>
    <x v="3"/>
    <n v="124"/>
    <n v="128"/>
    <n v="8.3769633507853408E-2"/>
  </r>
  <r>
    <x v="1"/>
    <x v="2"/>
    <s v="3U"/>
    <x v="2"/>
    <x v="4"/>
    <n v="131"/>
    <n v="132"/>
    <n v="8.6387434554973816E-2"/>
  </r>
  <r>
    <x v="1"/>
    <x v="2"/>
    <s v="3T"/>
    <x v="2"/>
    <x v="1"/>
    <n v="93"/>
    <n v="97"/>
    <n v="6.3481675392670162E-2"/>
  </r>
  <r>
    <x v="1"/>
    <x v="2"/>
    <s v="3S"/>
    <x v="2"/>
    <x v="5"/>
    <n v="82"/>
    <n v="83"/>
    <n v="5.4319371727748693E-2"/>
  </r>
  <r>
    <x v="1"/>
    <x v="2"/>
    <s v="4F"/>
    <x v="3"/>
    <x v="2"/>
    <n v="72"/>
    <n v="76"/>
    <n v="4.9738219895287955E-2"/>
  </r>
  <r>
    <x v="1"/>
    <x v="2"/>
    <s v="4L"/>
    <x v="3"/>
    <x v="6"/>
    <n v="84"/>
    <n v="86"/>
    <n v="5.6282722513089002E-2"/>
  </r>
  <r>
    <x v="1"/>
    <x v="2"/>
    <s v="4S"/>
    <x v="3"/>
    <x v="5"/>
    <n v="62"/>
    <n v="62"/>
    <n v="4.0575916230366493E-2"/>
  </r>
  <r>
    <x v="1"/>
    <x v="2"/>
    <s v="4M"/>
    <x v="3"/>
    <x v="3"/>
    <n v="47"/>
    <n v="47"/>
    <n v="3.0759162303664923E-2"/>
  </r>
  <r>
    <x v="1"/>
    <x v="2"/>
    <s v="5U"/>
    <x v="4"/>
    <x v="4"/>
    <n v="106"/>
    <n v="113"/>
    <n v="7.3952879581151834E-2"/>
  </r>
  <r>
    <x v="1"/>
    <x v="2"/>
    <s v="5L"/>
    <x v="4"/>
    <x v="6"/>
    <n v="71"/>
    <n v="72"/>
    <n v="4.712041884816754E-2"/>
  </r>
  <r>
    <x v="1"/>
    <x v="3"/>
    <s v="1E"/>
    <x v="0"/>
    <x v="0"/>
    <n v="169"/>
    <n v="163"/>
    <n v="0.1055699481865285"/>
  </r>
  <r>
    <x v="1"/>
    <x v="3"/>
    <s v="1T"/>
    <x v="0"/>
    <x v="1"/>
    <n v="92"/>
    <n v="94"/>
    <n v="6.0880829015544043E-2"/>
  </r>
  <r>
    <x v="1"/>
    <x v="3"/>
    <s v="2F"/>
    <x v="1"/>
    <x v="2"/>
    <n v="259"/>
    <n v="275"/>
    <n v="0.17810880829015543"/>
  </r>
  <r>
    <x v="1"/>
    <x v="3"/>
    <s v="2E"/>
    <x v="1"/>
    <x v="0"/>
    <n v="118"/>
    <n v="116"/>
    <n v="7.512953367875648E-2"/>
  </r>
  <r>
    <x v="1"/>
    <x v="3"/>
    <s v="2M"/>
    <x v="1"/>
    <x v="3"/>
    <n v="126"/>
    <n v="122"/>
    <n v="7.901554404145078E-2"/>
  </r>
  <r>
    <x v="1"/>
    <x v="3"/>
    <s v="3U"/>
    <x v="2"/>
    <x v="4"/>
    <n v="133"/>
    <n v="137"/>
    <n v="8.8730569948186525E-2"/>
  </r>
  <r>
    <x v="1"/>
    <x v="3"/>
    <s v="3T"/>
    <x v="2"/>
    <x v="1"/>
    <n v="95"/>
    <n v="99"/>
    <n v="6.4119170984455964E-2"/>
  </r>
  <r>
    <x v="1"/>
    <x v="3"/>
    <s v="3S"/>
    <x v="2"/>
    <x v="5"/>
    <n v="83"/>
    <n v="86"/>
    <n v="5.5699481865284971E-2"/>
  </r>
  <r>
    <x v="1"/>
    <x v="3"/>
    <s v="4F"/>
    <x v="3"/>
    <x v="2"/>
    <n v="73"/>
    <n v="72"/>
    <n v="4.6632124352331605E-2"/>
  </r>
  <r>
    <x v="1"/>
    <x v="3"/>
    <s v="4L"/>
    <x v="3"/>
    <x v="6"/>
    <n v="86"/>
    <n v="91"/>
    <n v="5.8937823834196892E-2"/>
  </r>
  <r>
    <x v="1"/>
    <x v="3"/>
    <s v="4S"/>
    <x v="3"/>
    <x v="5"/>
    <n v="63"/>
    <n v="64"/>
    <n v="4.145077720207254E-2"/>
  </r>
  <r>
    <x v="1"/>
    <x v="3"/>
    <s v="4M"/>
    <x v="3"/>
    <x v="3"/>
    <n v="47"/>
    <n v="45"/>
    <n v="2.9145077720207253E-2"/>
  </r>
  <r>
    <x v="1"/>
    <x v="3"/>
    <s v="5U"/>
    <x v="4"/>
    <x v="4"/>
    <n v="108"/>
    <n v="111"/>
    <n v="7.1891191709844565E-2"/>
  </r>
  <r>
    <x v="1"/>
    <x v="3"/>
    <s v="5L"/>
    <x v="4"/>
    <x v="6"/>
    <n v="72"/>
    <n v="69"/>
    <n v="4.468911917098445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A334A9-DF41-D64C-A093-811AFB35C59C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J3:P15" firstHeaderRow="1" firstDataRow="2" firstDataCol="1" rowPageCount="1" colPageCount="1"/>
  <pivotFields count="8">
    <pivotField axis="axisRow" showAll="0">
      <items count="3">
        <item x="0"/>
        <item x="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axis="axisCol" showAll="0">
      <items count="6">
        <item x="4"/>
        <item x="1"/>
        <item x="3"/>
        <item x="2"/>
        <item x="0"/>
        <item t="default"/>
      </items>
    </pivotField>
    <pivotField axis="axisPage" showAll="0">
      <items count="8">
        <item x="0"/>
        <item x="2"/>
        <item x="6"/>
        <item x="3"/>
        <item x="5"/>
        <item x="1"/>
        <item x="4"/>
        <item t="default"/>
      </items>
    </pivotField>
    <pivotField showAll="0"/>
    <pivotField dataField="1" showAll="0"/>
    <pivotField numFmtId="10" showAll="0"/>
  </pivotFields>
  <rowFields count="2">
    <field x="0"/>
    <field x="1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4" hier="-1"/>
  </pageFields>
  <dataFields count="1">
    <dataField name="Sum of ActualSales000s" fld="6" baseField="0" baseItem="0"/>
  </dataFields>
  <chartFormats count="26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1" format="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1" format="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1" format="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1" format="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3BD74-0787-DC44-8E95-B70E54F3ACB6}">
  <dimension ref="A1:H9"/>
  <sheetViews>
    <sheetView workbookViewId="0">
      <selection activeCell="C1" sqref="C1:C1048576"/>
    </sheetView>
  </sheetViews>
  <sheetFormatPr baseColWidth="10" defaultRowHeight="15"/>
  <cols>
    <col min="1" max="1" width="6.33203125" customWidth="1"/>
    <col min="2" max="3" width="8.6640625" customWidth="1"/>
    <col min="4" max="4" width="11" customWidth="1"/>
  </cols>
  <sheetData>
    <row r="1" spans="1:8" s="1" customFormat="1">
      <c r="A1" s="1" t="s">
        <v>0</v>
      </c>
      <c r="B1" s="1" t="s">
        <v>1</v>
      </c>
      <c r="C1" s="1" t="s">
        <v>161</v>
      </c>
      <c r="D1" s="1" t="s">
        <v>2</v>
      </c>
      <c r="E1" s="1" t="s">
        <v>3</v>
      </c>
      <c r="F1" s="1" t="s">
        <v>4</v>
      </c>
      <c r="G1" s="1" t="s">
        <v>143</v>
      </c>
      <c r="H1" s="1" t="s">
        <v>5</v>
      </c>
    </row>
    <row r="2" spans="1:8">
      <c r="A2">
        <v>1</v>
      </c>
      <c r="B2" t="s">
        <v>6</v>
      </c>
      <c r="C2" t="str">
        <f>"Y"&amp;A2&amp;B2</f>
        <v>Y1Q1</v>
      </c>
      <c r="D2">
        <v>2.8</v>
      </c>
      <c r="E2">
        <v>3.6</v>
      </c>
      <c r="F2">
        <v>4.4000000000000004</v>
      </c>
      <c r="G2">
        <v>4</v>
      </c>
      <c r="H2">
        <v>112</v>
      </c>
    </row>
    <row r="3" spans="1:8">
      <c r="A3">
        <v>1</v>
      </c>
      <c r="B3" t="s">
        <v>7</v>
      </c>
      <c r="C3" t="str">
        <f t="shared" ref="C3:C9" si="0">"Y"&amp;A3&amp;B3</f>
        <v>Y1Q2</v>
      </c>
      <c r="D3">
        <v>2.6</v>
      </c>
      <c r="E3">
        <v>3.4</v>
      </c>
      <c r="F3">
        <v>4.4000000000000004</v>
      </c>
      <c r="G3">
        <v>4.0999999999999996</v>
      </c>
      <c r="H3">
        <v>114</v>
      </c>
    </row>
    <row r="4" spans="1:8">
      <c r="A4">
        <v>1</v>
      </c>
      <c r="B4" t="s">
        <v>8</v>
      </c>
      <c r="C4" t="str">
        <f t="shared" si="0"/>
        <v>Y1Q3</v>
      </c>
      <c r="D4">
        <v>2.4</v>
      </c>
      <c r="E4">
        <v>3.2</v>
      </c>
      <c r="F4">
        <v>4.3</v>
      </c>
      <c r="G4">
        <v>4.0999999999999996</v>
      </c>
      <c r="H4">
        <v>113</v>
      </c>
    </row>
    <row r="5" spans="1:8">
      <c r="A5">
        <v>1</v>
      </c>
      <c r="B5" t="s">
        <v>9</v>
      </c>
      <c r="C5" t="str">
        <f t="shared" si="0"/>
        <v>Y1Q4</v>
      </c>
      <c r="D5">
        <v>2.2000000000000002</v>
      </c>
      <c r="E5">
        <v>3</v>
      </c>
      <c r="F5">
        <v>4.3</v>
      </c>
      <c r="G5">
        <v>4.2</v>
      </c>
      <c r="H5">
        <v>111</v>
      </c>
    </row>
    <row r="6" spans="1:8">
      <c r="A6">
        <v>2</v>
      </c>
      <c r="B6" t="s">
        <v>6</v>
      </c>
      <c r="C6" t="str">
        <f t="shared" si="0"/>
        <v>Y2Q1</v>
      </c>
      <c r="D6">
        <v>2</v>
      </c>
      <c r="E6">
        <v>2.8</v>
      </c>
      <c r="F6">
        <v>4.2</v>
      </c>
      <c r="G6">
        <v>4.2</v>
      </c>
      <c r="H6">
        <v>110</v>
      </c>
    </row>
    <row r="7" spans="1:8">
      <c r="A7">
        <v>2</v>
      </c>
      <c r="B7" t="s">
        <v>7</v>
      </c>
      <c r="C7" t="str">
        <f t="shared" si="0"/>
        <v>Y2Q2</v>
      </c>
      <c r="D7">
        <v>1.8</v>
      </c>
      <c r="E7">
        <v>2.7</v>
      </c>
      <c r="F7">
        <v>4.0999999999999996</v>
      </c>
      <c r="G7">
        <v>4.3</v>
      </c>
      <c r="H7">
        <v>108</v>
      </c>
    </row>
    <row r="8" spans="1:8">
      <c r="A8">
        <v>2</v>
      </c>
      <c r="B8" t="s">
        <v>8</v>
      </c>
      <c r="C8" t="str">
        <f t="shared" si="0"/>
        <v>Y2Q3</v>
      </c>
      <c r="D8">
        <v>2.1</v>
      </c>
      <c r="E8">
        <v>2.6</v>
      </c>
      <c r="F8">
        <v>4</v>
      </c>
      <c r="G8">
        <v>4.2</v>
      </c>
      <c r="H8">
        <v>109</v>
      </c>
    </row>
    <row r="9" spans="1:8">
      <c r="A9">
        <v>2</v>
      </c>
      <c r="B9" t="s">
        <v>9</v>
      </c>
      <c r="C9" t="str">
        <f t="shared" si="0"/>
        <v>Y2Q4</v>
      </c>
      <c r="D9">
        <v>2.4</v>
      </c>
      <c r="E9">
        <v>2.5</v>
      </c>
      <c r="F9">
        <v>3.9</v>
      </c>
      <c r="G9">
        <v>4.0999999999999996</v>
      </c>
      <c r="H9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70667-7078-6948-9324-477DA4733AC4}">
  <dimension ref="A1:D6"/>
  <sheetViews>
    <sheetView workbookViewId="0">
      <selection activeCell="G23" sqref="G23"/>
    </sheetView>
  </sheetViews>
  <sheetFormatPr baseColWidth="10" defaultRowHeight="15"/>
  <sheetData>
    <row r="1" spans="1:4" s="1" customFormat="1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>
        <v>1</v>
      </c>
      <c r="B2" t="s">
        <v>14</v>
      </c>
      <c r="C2" t="s">
        <v>15</v>
      </c>
      <c r="D2" t="s">
        <v>16</v>
      </c>
    </row>
    <row r="3" spans="1:4">
      <c r="A3">
        <v>2</v>
      </c>
      <c r="B3" t="s">
        <v>17</v>
      </c>
      <c r="C3" t="s">
        <v>18</v>
      </c>
      <c r="D3" t="s">
        <v>19</v>
      </c>
    </row>
    <row r="4" spans="1:4">
      <c r="A4">
        <v>3</v>
      </c>
      <c r="B4" t="s">
        <v>20</v>
      </c>
      <c r="C4" t="s">
        <v>21</v>
      </c>
      <c r="D4" t="s">
        <v>22</v>
      </c>
    </row>
    <row r="5" spans="1:4">
      <c r="A5">
        <v>4</v>
      </c>
      <c r="B5" t="s">
        <v>23</v>
      </c>
      <c r="C5" t="s">
        <v>24</v>
      </c>
      <c r="D5" t="s">
        <v>25</v>
      </c>
    </row>
    <row r="6" spans="1:4">
      <c r="A6">
        <v>5</v>
      </c>
      <c r="B6" t="s">
        <v>26</v>
      </c>
      <c r="C6" t="s">
        <v>27</v>
      </c>
      <c r="D6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1BBEB-8172-484A-AEA5-A3248E584BF1}">
  <dimension ref="A1:E15"/>
  <sheetViews>
    <sheetView workbookViewId="0">
      <selection sqref="A1:XFD1"/>
    </sheetView>
  </sheetViews>
  <sheetFormatPr baseColWidth="10" defaultRowHeight="15"/>
  <sheetData>
    <row r="1" spans="1:5" s="1" customFormat="1">
      <c r="A1" s="1" t="s">
        <v>29</v>
      </c>
      <c r="B1" s="1" t="s">
        <v>10</v>
      </c>
      <c r="C1" s="1" t="s">
        <v>11</v>
      </c>
      <c r="D1" s="1" t="s">
        <v>30</v>
      </c>
      <c r="E1" s="1" t="s">
        <v>31</v>
      </c>
    </row>
    <row r="2" spans="1:5">
      <c r="A2" t="s">
        <v>32</v>
      </c>
      <c r="B2">
        <v>1</v>
      </c>
      <c r="C2" t="s">
        <v>14</v>
      </c>
      <c r="D2" t="s">
        <v>33</v>
      </c>
      <c r="E2" t="s">
        <v>34</v>
      </c>
    </row>
    <row r="3" spans="1:5">
      <c r="A3" t="s">
        <v>35</v>
      </c>
      <c r="B3">
        <v>1</v>
      </c>
      <c r="C3" t="s">
        <v>14</v>
      </c>
      <c r="D3" t="s">
        <v>36</v>
      </c>
      <c r="E3" t="s">
        <v>37</v>
      </c>
    </row>
    <row r="4" spans="1:5">
      <c r="A4" t="s">
        <v>38</v>
      </c>
      <c r="B4">
        <v>2</v>
      </c>
      <c r="C4" t="s">
        <v>17</v>
      </c>
      <c r="D4" t="s">
        <v>39</v>
      </c>
      <c r="E4" t="s">
        <v>40</v>
      </c>
    </row>
    <row r="5" spans="1:5">
      <c r="A5" t="s">
        <v>41</v>
      </c>
      <c r="B5">
        <v>2</v>
      </c>
      <c r="C5" t="s">
        <v>17</v>
      </c>
      <c r="D5" t="s">
        <v>33</v>
      </c>
      <c r="E5" t="s">
        <v>34</v>
      </c>
    </row>
    <row r="6" spans="1:5">
      <c r="A6" t="s">
        <v>42</v>
      </c>
      <c r="B6">
        <v>2</v>
      </c>
      <c r="C6" t="s">
        <v>17</v>
      </c>
      <c r="D6" t="s">
        <v>43</v>
      </c>
      <c r="E6" t="s">
        <v>44</v>
      </c>
    </row>
    <row r="7" spans="1:5">
      <c r="A7" t="s">
        <v>45</v>
      </c>
      <c r="B7">
        <v>3</v>
      </c>
      <c r="C7" t="s">
        <v>20</v>
      </c>
      <c r="D7" t="s">
        <v>46</v>
      </c>
      <c r="E7" t="s">
        <v>47</v>
      </c>
    </row>
    <row r="8" spans="1:5">
      <c r="A8" t="s">
        <v>48</v>
      </c>
      <c r="B8">
        <v>3</v>
      </c>
      <c r="C8" t="s">
        <v>20</v>
      </c>
      <c r="D8" t="s">
        <v>36</v>
      </c>
      <c r="E8" t="s">
        <v>37</v>
      </c>
    </row>
    <row r="9" spans="1:5">
      <c r="A9" t="s">
        <v>49</v>
      </c>
      <c r="B9">
        <v>3</v>
      </c>
      <c r="C9" t="s">
        <v>20</v>
      </c>
      <c r="D9" t="s">
        <v>50</v>
      </c>
      <c r="E9" t="s">
        <v>51</v>
      </c>
    </row>
    <row r="10" spans="1:5">
      <c r="A10" t="s">
        <v>52</v>
      </c>
      <c r="B10">
        <v>4</v>
      </c>
      <c r="C10" t="s">
        <v>23</v>
      </c>
      <c r="D10" t="s">
        <v>39</v>
      </c>
      <c r="E10" t="s">
        <v>40</v>
      </c>
    </row>
    <row r="11" spans="1:5">
      <c r="A11" t="s">
        <v>53</v>
      </c>
      <c r="B11">
        <v>4</v>
      </c>
      <c r="C11" t="s">
        <v>23</v>
      </c>
      <c r="D11" t="s">
        <v>54</v>
      </c>
      <c r="E11" t="s">
        <v>55</v>
      </c>
    </row>
    <row r="12" spans="1:5">
      <c r="A12" t="s">
        <v>56</v>
      </c>
      <c r="B12">
        <v>4</v>
      </c>
      <c r="C12" t="s">
        <v>23</v>
      </c>
      <c r="D12" t="s">
        <v>50</v>
      </c>
      <c r="E12" t="s">
        <v>51</v>
      </c>
    </row>
    <row r="13" spans="1:5">
      <c r="A13" t="s">
        <v>57</v>
      </c>
      <c r="B13">
        <v>4</v>
      </c>
      <c r="C13" t="s">
        <v>23</v>
      </c>
      <c r="D13" t="s">
        <v>43</v>
      </c>
      <c r="E13" t="s">
        <v>44</v>
      </c>
    </row>
    <row r="14" spans="1:5">
      <c r="A14" t="s">
        <v>58</v>
      </c>
      <c r="B14">
        <v>5</v>
      </c>
      <c r="C14" t="s">
        <v>26</v>
      </c>
      <c r="D14" t="s">
        <v>46</v>
      </c>
      <c r="E14" t="s">
        <v>47</v>
      </c>
    </row>
    <row r="15" spans="1:5">
      <c r="A15" t="s">
        <v>59</v>
      </c>
      <c r="B15">
        <v>5</v>
      </c>
      <c r="C15" t="s">
        <v>26</v>
      </c>
      <c r="D15" t="s">
        <v>54</v>
      </c>
      <c r="E15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0B571-998B-9840-900F-504D22C3C64D}">
  <dimension ref="A1:P113"/>
  <sheetViews>
    <sheetView topLeftCell="A8" workbookViewId="0">
      <selection activeCell="E34" sqref="E34"/>
    </sheetView>
  </sheetViews>
  <sheetFormatPr baseColWidth="10" defaultRowHeight="15"/>
  <cols>
    <col min="8" max="8" width="12.33203125" style="7" customWidth="1"/>
    <col min="10" max="10" width="22.6640625" bestFit="1" customWidth="1"/>
    <col min="11" max="11" width="17" bestFit="1" customWidth="1"/>
    <col min="12" max="12" width="8.5" bestFit="1" customWidth="1"/>
    <col min="13" max="13" width="12.33203125" bestFit="1" customWidth="1"/>
    <col min="14" max="14" width="7.6640625" bestFit="1" customWidth="1"/>
    <col min="15" max="15" width="13.33203125" bestFit="1" customWidth="1"/>
    <col min="16" max="16" width="11.6640625" bestFit="1" customWidth="1"/>
    <col min="17" max="19" width="5.1640625" bestFit="1" customWidth="1"/>
    <col min="20" max="20" width="7.1640625" bestFit="1" customWidth="1"/>
    <col min="21" max="21" width="11.6640625" bestFit="1" customWidth="1"/>
  </cols>
  <sheetData>
    <row r="1" spans="1:16" s="1" customFormat="1">
      <c r="A1" s="1" t="s">
        <v>0</v>
      </c>
      <c r="B1" s="1" t="s">
        <v>1</v>
      </c>
      <c r="C1" s="1" t="s">
        <v>29</v>
      </c>
      <c r="D1" s="1" t="s">
        <v>11</v>
      </c>
      <c r="E1" s="1" t="s">
        <v>60</v>
      </c>
      <c r="F1" s="1" t="s">
        <v>61</v>
      </c>
      <c r="G1" s="1" t="s">
        <v>62</v>
      </c>
      <c r="H1" s="6" t="s">
        <v>65</v>
      </c>
      <c r="J1" s="10" t="s">
        <v>60</v>
      </c>
      <c r="K1" t="s">
        <v>156</v>
      </c>
      <c r="L1"/>
    </row>
    <row r="2" spans="1:16">
      <c r="A2">
        <v>1</v>
      </c>
      <c r="B2" t="s">
        <v>6</v>
      </c>
      <c r="C2" t="s">
        <v>32</v>
      </c>
      <c r="D2" t="s">
        <v>14</v>
      </c>
      <c r="E2" t="s">
        <v>33</v>
      </c>
      <c r="F2">
        <v>150</v>
      </c>
      <c r="G2">
        <v>156</v>
      </c>
      <c r="H2" s="7">
        <f>G2/SUM($G$2:$G$15)</f>
        <v>0.11403508771929824</v>
      </c>
      <c r="I2" s="4"/>
    </row>
    <row r="3" spans="1:16">
      <c r="A3">
        <v>1</v>
      </c>
      <c r="B3" t="s">
        <v>6</v>
      </c>
      <c r="C3" t="s">
        <v>35</v>
      </c>
      <c r="D3" t="s">
        <v>14</v>
      </c>
      <c r="E3" t="s">
        <v>36</v>
      </c>
      <c r="F3">
        <v>82</v>
      </c>
      <c r="G3">
        <v>87</v>
      </c>
      <c r="H3" s="7">
        <f t="shared" ref="H3:H15" si="0">G3/SUM($G$2:$G$15)</f>
        <v>6.3596491228070179E-2</v>
      </c>
      <c r="J3" s="10" t="s">
        <v>160</v>
      </c>
      <c r="K3" s="10" t="s">
        <v>157</v>
      </c>
    </row>
    <row r="4" spans="1:16">
      <c r="A4">
        <v>1</v>
      </c>
      <c r="B4" t="s">
        <v>6</v>
      </c>
      <c r="C4" t="s">
        <v>38</v>
      </c>
      <c r="D4" t="s">
        <v>17</v>
      </c>
      <c r="E4" t="s">
        <v>39</v>
      </c>
      <c r="F4">
        <v>230</v>
      </c>
      <c r="G4">
        <v>232</v>
      </c>
      <c r="H4" s="7">
        <f t="shared" si="0"/>
        <v>0.16959064327485379</v>
      </c>
      <c r="J4" s="10" t="s">
        <v>159</v>
      </c>
      <c r="K4" t="s">
        <v>26</v>
      </c>
      <c r="L4" t="s">
        <v>17</v>
      </c>
      <c r="M4" t="s">
        <v>23</v>
      </c>
      <c r="N4" t="s">
        <v>20</v>
      </c>
      <c r="O4" t="s">
        <v>14</v>
      </c>
      <c r="P4" t="s">
        <v>158</v>
      </c>
    </row>
    <row r="5" spans="1:16">
      <c r="A5">
        <v>1</v>
      </c>
      <c r="B5" t="s">
        <v>6</v>
      </c>
      <c r="C5" t="s">
        <v>41</v>
      </c>
      <c r="D5" t="s">
        <v>17</v>
      </c>
      <c r="E5" t="s">
        <v>33</v>
      </c>
      <c r="F5">
        <v>105</v>
      </c>
      <c r="G5">
        <v>111</v>
      </c>
      <c r="H5" s="7">
        <f t="shared" si="0"/>
        <v>8.1140350877192985E-2</v>
      </c>
      <c r="J5" s="9">
        <v>1</v>
      </c>
      <c r="K5">
        <v>657</v>
      </c>
      <c r="L5">
        <v>1866</v>
      </c>
      <c r="M5">
        <v>970</v>
      </c>
      <c r="N5">
        <v>1134</v>
      </c>
      <c r="O5">
        <v>957</v>
      </c>
      <c r="P5">
        <v>5584</v>
      </c>
    </row>
    <row r="6" spans="1:16">
      <c r="A6">
        <v>1</v>
      </c>
      <c r="B6" t="s">
        <v>6</v>
      </c>
      <c r="C6" t="s">
        <v>42</v>
      </c>
      <c r="D6" t="s">
        <v>17</v>
      </c>
      <c r="E6" t="s">
        <v>43</v>
      </c>
      <c r="F6">
        <v>112</v>
      </c>
      <c r="G6">
        <v>116</v>
      </c>
      <c r="H6" s="7">
        <f t="shared" si="0"/>
        <v>8.4795321637426896E-2</v>
      </c>
      <c r="J6" s="11" t="s">
        <v>6</v>
      </c>
      <c r="K6">
        <v>157</v>
      </c>
      <c r="L6">
        <v>459</v>
      </c>
      <c r="M6">
        <v>232</v>
      </c>
      <c r="N6">
        <v>277</v>
      </c>
      <c r="O6">
        <v>243</v>
      </c>
      <c r="P6">
        <v>1368</v>
      </c>
    </row>
    <row r="7" spans="1:16">
      <c r="A7">
        <v>1</v>
      </c>
      <c r="B7" t="s">
        <v>6</v>
      </c>
      <c r="C7" t="s">
        <v>45</v>
      </c>
      <c r="D7" t="s">
        <v>20</v>
      </c>
      <c r="E7" t="s">
        <v>46</v>
      </c>
      <c r="F7">
        <v>118</v>
      </c>
      <c r="G7">
        <v>118</v>
      </c>
      <c r="H7" s="7">
        <f t="shared" si="0"/>
        <v>8.6257309941520463E-2</v>
      </c>
      <c r="J7" s="11" t="s">
        <v>7</v>
      </c>
      <c r="K7">
        <v>169</v>
      </c>
      <c r="L7">
        <v>457</v>
      </c>
      <c r="M7">
        <v>245</v>
      </c>
      <c r="N7">
        <v>279</v>
      </c>
      <c r="O7">
        <v>239</v>
      </c>
      <c r="P7">
        <v>1389</v>
      </c>
    </row>
    <row r="8" spans="1:16">
      <c r="A8">
        <v>1</v>
      </c>
      <c r="B8" t="s">
        <v>6</v>
      </c>
      <c r="C8" t="s">
        <v>48</v>
      </c>
      <c r="D8" t="s">
        <v>20</v>
      </c>
      <c r="E8" t="s">
        <v>36</v>
      </c>
      <c r="F8">
        <v>84</v>
      </c>
      <c r="G8">
        <v>88</v>
      </c>
      <c r="H8" s="7">
        <f t="shared" si="0"/>
        <v>6.4327485380116955E-2</v>
      </c>
      <c r="J8" s="11" t="s">
        <v>8</v>
      </c>
      <c r="K8">
        <v>170</v>
      </c>
      <c r="L8">
        <v>468</v>
      </c>
      <c r="M8">
        <v>244</v>
      </c>
      <c r="N8">
        <v>286</v>
      </c>
      <c r="O8">
        <v>234</v>
      </c>
      <c r="P8">
        <v>1402</v>
      </c>
    </row>
    <row r="9" spans="1:16">
      <c r="A9">
        <v>1</v>
      </c>
      <c r="B9" t="s">
        <v>6</v>
      </c>
      <c r="C9" t="s">
        <v>49</v>
      </c>
      <c r="D9" t="s">
        <v>20</v>
      </c>
      <c r="E9" t="s">
        <v>50</v>
      </c>
      <c r="F9">
        <v>74</v>
      </c>
      <c r="G9">
        <v>71</v>
      </c>
      <c r="H9" s="7">
        <f t="shared" si="0"/>
        <v>5.1900584795321635E-2</v>
      </c>
      <c r="J9" s="11" t="s">
        <v>9</v>
      </c>
      <c r="K9">
        <v>161</v>
      </c>
      <c r="L9">
        <v>482</v>
      </c>
      <c r="M9">
        <v>249</v>
      </c>
      <c r="N9">
        <v>292</v>
      </c>
      <c r="O9">
        <v>241</v>
      </c>
      <c r="P9">
        <v>1425</v>
      </c>
    </row>
    <row r="10" spans="1:16">
      <c r="A10">
        <v>1</v>
      </c>
      <c r="B10" t="s">
        <v>6</v>
      </c>
      <c r="C10" t="s">
        <v>52</v>
      </c>
      <c r="D10" t="s">
        <v>23</v>
      </c>
      <c r="E10" t="s">
        <v>39</v>
      </c>
      <c r="F10">
        <v>65</v>
      </c>
      <c r="G10">
        <v>63</v>
      </c>
      <c r="H10" s="7">
        <f t="shared" si="0"/>
        <v>4.6052631578947366E-2</v>
      </c>
      <c r="J10" s="9">
        <v>2</v>
      </c>
      <c r="K10">
        <v>717</v>
      </c>
      <c r="L10">
        <v>1994</v>
      </c>
      <c r="M10">
        <v>1057</v>
      </c>
      <c r="N10">
        <v>1230</v>
      </c>
      <c r="O10">
        <v>1017</v>
      </c>
      <c r="P10">
        <v>6015</v>
      </c>
    </row>
    <row r="11" spans="1:16">
      <c r="A11">
        <v>1</v>
      </c>
      <c r="B11" t="s">
        <v>6</v>
      </c>
      <c r="C11" t="s">
        <v>53</v>
      </c>
      <c r="D11" t="s">
        <v>23</v>
      </c>
      <c r="E11" t="s">
        <v>54</v>
      </c>
      <c r="F11">
        <v>76</v>
      </c>
      <c r="G11">
        <v>73</v>
      </c>
      <c r="H11" s="7">
        <f t="shared" si="0"/>
        <v>5.3362573099415202E-2</v>
      </c>
      <c r="J11" s="11" t="s">
        <v>6</v>
      </c>
      <c r="K11">
        <v>172</v>
      </c>
      <c r="L11">
        <v>489</v>
      </c>
      <c r="M11">
        <v>258</v>
      </c>
      <c r="N11">
        <v>295</v>
      </c>
      <c r="O11">
        <v>253</v>
      </c>
      <c r="P11">
        <v>1467</v>
      </c>
    </row>
    <row r="12" spans="1:16">
      <c r="A12">
        <v>1</v>
      </c>
      <c r="B12" t="s">
        <v>6</v>
      </c>
      <c r="C12" t="s">
        <v>56</v>
      </c>
      <c r="D12" t="s">
        <v>23</v>
      </c>
      <c r="E12" t="s">
        <v>50</v>
      </c>
      <c r="F12">
        <v>56</v>
      </c>
      <c r="G12">
        <v>54</v>
      </c>
      <c r="H12" s="7">
        <f t="shared" si="0"/>
        <v>3.9473684210526314E-2</v>
      </c>
      <c r="J12" s="11" t="s">
        <v>7</v>
      </c>
      <c r="K12">
        <v>180</v>
      </c>
      <c r="L12">
        <v>492</v>
      </c>
      <c r="M12">
        <v>256</v>
      </c>
      <c r="N12">
        <v>301</v>
      </c>
      <c r="O12">
        <v>247</v>
      </c>
      <c r="P12">
        <v>1476</v>
      </c>
    </row>
    <row r="13" spans="1:16">
      <c r="A13">
        <v>1</v>
      </c>
      <c r="B13" t="s">
        <v>6</v>
      </c>
      <c r="C13" t="s">
        <v>57</v>
      </c>
      <c r="D13" t="s">
        <v>23</v>
      </c>
      <c r="E13" t="s">
        <v>43</v>
      </c>
      <c r="F13">
        <v>42</v>
      </c>
      <c r="G13">
        <v>42</v>
      </c>
      <c r="H13" s="7">
        <f t="shared" si="0"/>
        <v>3.0701754385964911E-2</v>
      </c>
      <c r="J13" s="11" t="s">
        <v>8</v>
      </c>
      <c r="K13">
        <v>185</v>
      </c>
      <c r="L13">
        <v>500</v>
      </c>
      <c r="M13">
        <v>271</v>
      </c>
      <c r="N13">
        <v>312</v>
      </c>
      <c r="O13">
        <v>260</v>
      </c>
      <c r="P13">
        <v>1528</v>
      </c>
    </row>
    <row r="14" spans="1:16">
      <c r="A14">
        <v>1</v>
      </c>
      <c r="B14" t="s">
        <v>6</v>
      </c>
      <c r="C14" t="s">
        <v>58</v>
      </c>
      <c r="D14" t="s">
        <v>26</v>
      </c>
      <c r="E14" t="s">
        <v>46</v>
      </c>
      <c r="F14">
        <v>96</v>
      </c>
      <c r="G14">
        <v>92</v>
      </c>
      <c r="H14" s="7">
        <f t="shared" si="0"/>
        <v>6.725146198830409E-2</v>
      </c>
      <c r="J14" s="11" t="s">
        <v>9</v>
      </c>
      <c r="K14">
        <v>180</v>
      </c>
      <c r="L14">
        <v>513</v>
      </c>
      <c r="M14">
        <v>272</v>
      </c>
      <c r="N14">
        <v>322</v>
      </c>
      <c r="O14">
        <v>257</v>
      </c>
      <c r="P14">
        <v>1544</v>
      </c>
    </row>
    <row r="15" spans="1:16">
      <c r="A15">
        <v>1</v>
      </c>
      <c r="B15" t="s">
        <v>6</v>
      </c>
      <c r="C15" t="s">
        <v>59</v>
      </c>
      <c r="D15" t="s">
        <v>26</v>
      </c>
      <c r="E15" t="s">
        <v>54</v>
      </c>
      <c r="F15">
        <v>64</v>
      </c>
      <c r="G15">
        <v>65</v>
      </c>
      <c r="H15" s="7">
        <f t="shared" si="0"/>
        <v>4.7514619883040933E-2</v>
      </c>
      <c r="J15" s="9" t="s">
        <v>158</v>
      </c>
      <c r="K15">
        <v>1374</v>
      </c>
      <c r="L15">
        <v>3860</v>
      </c>
      <c r="M15">
        <v>2027</v>
      </c>
      <c r="N15">
        <v>2364</v>
      </c>
      <c r="O15">
        <v>1974</v>
      </c>
      <c r="P15">
        <v>11599</v>
      </c>
    </row>
    <row r="16" spans="1:16">
      <c r="A16">
        <v>1</v>
      </c>
      <c r="B16" t="s">
        <v>7</v>
      </c>
      <c r="C16" t="s">
        <v>32</v>
      </c>
      <c r="D16" t="s">
        <v>14</v>
      </c>
      <c r="E16" t="s">
        <v>33</v>
      </c>
      <c r="F16">
        <v>153</v>
      </c>
      <c r="G16">
        <v>152</v>
      </c>
      <c r="H16" s="7">
        <f>G16/SUM($G$16:$G$29)</f>
        <v>0.10943124550035997</v>
      </c>
    </row>
    <row r="17" spans="1:8">
      <c r="A17">
        <v>1</v>
      </c>
      <c r="B17" t="s">
        <v>7</v>
      </c>
      <c r="C17" t="s">
        <v>35</v>
      </c>
      <c r="D17" t="s">
        <v>14</v>
      </c>
      <c r="E17" t="s">
        <v>36</v>
      </c>
      <c r="F17">
        <v>83</v>
      </c>
      <c r="G17">
        <v>87</v>
      </c>
      <c r="H17" s="7">
        <f t="shared" ref="H17:H29" si="1">G17/SUM($G$16:$G$29)</f>
        <v>6.2634989200863925E-2</v>
      </c>
    </row>
    <row r="18" spans="1:8">
      <c r="A18">
        <v>1</v>
      </c>
      <c r="B18" t="s">
        <v>7</v>
      </c>
      <c r="C18" t="s">
        <v>38</v>
      </c>
      <c r="D18" t="s">
        <v>17</v>
      </c>
      <c r="E18" t="s">
        <v>39</v>
      </c>
      <c r="F18">
        <v>234</v>
      </c>
      <c r="G18">
        <v>240</v>
      </c>
      <c r="H18" s="7">
        <f t="shared" si="1"/>
        <v>0.17278617710583152</v>
      </c>
    </row>
    <row r="19" spans="1:8">
      <c r="A19">
        <v>1</v>
      </c>
      <c r="B19" t="s">
        <v>7</v>
      </c>
      <c r="C19" t="s">
        <v>41</v>
      </c>
      <c r="D19" t="s">
        <v>17</v>
      </c>
      <c r="E19" t="s">
        <v>33</v>
      </c>
      <c r="F19">
        <v>107</v>
      </c>
      <c r="G19">
        <v>101</v>
      </c>
      <c r="H19" s="7">
        <f t="shared" si="1"/>
        <v>7.2714182865370777E-2</v>
      </c>
    </row>
    <row r="20" spans="1:8">
      <c r="A20">
        <v>1</v>
      </c>
      <c r="B20" t="s">
        <v>7</v>
      </c>
      <c r="C20" t="s">
        <v>42</v>
      </c>
      <c r="D20" t="s">
        <v>17</v>
      </c>
      <c r="E20" t="s">
        <v>43</v>
      </c>
      <c r="F20">
        <v>114</v>
      </c>
      <c r="G20">
        <v>116</v>
      </c>
      <c r="H20" s="7">
        <f t="shared" si="1"/>
        <v>8.3513318934485242E-2</v>
      </c>
    </row>
    <row r="21" spans="1:8">
      <c r="A21">
        <v>1</v>
      </c>
      <c r="B21" t="s">
        <v>7</v>
      </c>
      <c r="C21" t="s">
        <v>45</v>
      </c>
      <c r="D21" t="s">
        <v>20</v>
      </c>
      <c r="E21" t="s">
        <v>46</v>
      </c>
      <c r="F21">
        <v>120</v>
      </c>
      <c r="G21">
        <v>115</v>
      </c>
      <c r="H21" s="7">
        <f t="shared" si="1"/>
        <v>8.2793376529877616E-2</v>
      </c>
    </row>
    <row r="22" spans="1:8">
      <c r="A22">
        <v>1</v>
      </c>
      <c r="B22" t="s">
        <v>7</v>
      </c>
      <c r="C22" t="s">
        <v>48</v>
      </c>
      <c r="D22" t="s">
        <v>20</v>
      </c>
      <c r="E22" t="s">
        <v>36</v>
      </c>
      <c r="F22">
        <v>86</v>
      </c>
      <c r="G22">
        <v>86</v>
      </c>
      <c r="H22" s="7">
        <f t="shared" si="1"/>
        <v>6.1915046796256298E-2</v>
      </c>
    </row>
    <row r="23" spans="1:8">
      <c r="A23">
        <v>1</v>
      </c>
      <c r="B23" t="s">
        <v>7</v>
      </c>
      <c r="C23" t="s">
        <v>49</v>
      </c>
      <c r="D23" t="s">
        <v>20</v>
      </c>
      <c r="E23" t="s">
        <v>50</v>
      </c>
      <c r="F23">
        <v>75</v>
      </c>
      <c r="G23">
        <v>78</v>
      </c>
      <c r="H23" s="7">
        <f t="shared" si="1"/>
        <v>5.6155507559395246E-2</v>
      </c>
    </row>
    <row r="24" spans="1:8">
      <c r="A24">
        <v>1</v>
      </c>
      <c r="B24" t="s">
        <v>7</v>
      </c>
      <c r="C24" t="s">
        <v>52</v>
      </c>
      <c r="D24" t="s">
        <v>23</v>
      </c>
      <c r="E24" t="s">
        <v>39</v>
      </c>
      <c r="F24">
        <v>66</v>
      </c>
      <c r="G24">
        <v>67</v>
      </c>
      <c r="H24" s="7">
        <f t="shared" si="1"/>
        <v>4.82361411087113E-2</v>
      </c>
    </row>
    <row r="25" spans="1:8">
      <c r="A25">
        <v>1</v>
      </c>
      <c r="B25" t="s">
        <v>7</v>
      </c>
      <c r="C25" t="s">
        <v>53</v>
      </c>
      <c r="D25" t="s">
        <v>23</v>
      </c>
      <c r="E25" t="s">
        <v>54</v>
      </c>
      <c r="F25">
        <v>77</v>
      </c>
      <c r="G25">
        <v>77</v>
      </c>
      <c r="H25" s="7">
        <f t="shared" si="1"/>
        <v>5.5435565154787619E-2</v>
      </c>
    </row>
    <row r="26" spans="1:8">
      <c r="A26">
        <v>1</v>
      </c>
      <c r="B26" t="s">
        <v>7</v>
      </c>
      <c r="C26" t="s">
        <v>56</v>
      </c>
      <c r="D26" t="s">
        <v>23</v>
      </c>
      <c r="E26" t="s">
        <v>50</v>
      </c>
      <c r="F26">
        <v>57</v>
      </c>
      <c r="G26">
        <v>58</v>
      </c>
      <c r="H26" s="7">
        <f t="shared" si="1"/>
        <v>4.1756659467242621E-2</v>
      </c>
    </row>
    <row r="27" spans="1:8">
      <c r="A27">
        <v>1</v>
      </c>
      <c r="B27" t="s">
        <v>7</v>
      </c>
      <c r="C27" t="s">
        <v>57</v>
      </c>
      <c r="D27" t="s">
        <v>23</v>
      </c>
      <c r="E27" t="s">
        <v>43</v>
      </c>
      <c r="F27">
        <v>43</v>
      </c>
      <c r="G27">
        <v>43</v>
      </c>
      <c r="H27" s="7">
        <f t="shared" si="1"/>
        <v>3.0957523398128149E-2</v>
      </c>
    </row>
    <row r="28" spans="1:8">
      <c r="A28">
        <v>1</v>
      </c>
      <c r="B28" t="s">
        <v>7</v>
      </c>
      <c r="C28" t="s">
        <v>58</v>
      </c>
      <c r="D28" t="s">
        <v>26</v>
      </c>
      <c r="E28" t="s">
        <v>46</v>
      </c>
      <c r="F28">
        <v>98</v>
      </c>
      <c r="G28">
        <v>103</v>
      </c>
      <c r="H28" s="7">
        <f t="shared" si="1"/>
        <v>7.415406767458603E-2</v>
      </c>
    </row>
    <row r="29" spans="1:8">
      <c r="A29">
        <v>1</v>
      </c>
      <c r="B29" t="s">
        <v>7</v>
      </c>
      <c r="C29" t="s">
        <v>59</v>
      </c>
      <c r="D29" t="s">
        <v>26</v>
      </c>
      <c r="E29" t="s">
        <v>54</v>
      </c>
      <c r="F29">
        <v>65</v>
      </c>
      <c r="G29">
        <v>66</v>
      </c>
      <c r="H29" s="7">
        <f t="shared" si="1"/>
        <v>4.7516198704103674E-2</v>
      </c>
    </row>
    <row r="30" spans="1:8">
      <c r="A30">
        <v>1</v>
      </c>
      <c r="B30" t="s">
        <v>8</v>
      </c>
      <c r="C30" t="s">
        <v>32</v>
      </c>
      <c r="D30" t="s">
        <v>14</v>
      </c>
      <c r="E30" t="s">
        <v>33</v>
      </c>
      <c r="F30">
        <v>155</v>
      </c>
      <c r="G30">
        <v>150</v>
      </c>
      <c r="H30" s="7">
        <f>G30/SUM($G$30:$G$43)</f>
        <v>0.10699001426533523</v>
      </c>
    </row>
    <row r="31" spans="1:8">
      <c r="A31">
        <v>1</v>
      </c>
      <c r="B31" t="s">
        <v>8</v>
      </c>
      <c r="C31" t="s">
        <v>35</v>
      </c>
      <c r="D31" t="s">
        <v>14</v>
      </c>
      <c r="E31" t="s">
        <v>36</v>
      </c>
      <c r="F31">
        <v>85</v>
      </c>
      <c r="G31">
        <v>84</v>
      </c>
      <c r="H31" s="7">
        <f t="shared" ref="H31:H43" si="2">G31/SUM($G$30:$G$43)</f>
        <v>5.9914407988587728E-2</v>
      </c>
    </row>
    <row r="32" spans="1:8">
      <c r="A32">
        <v>1</v>
      </c>
      <c r="B32" t="s">
        <v>8</v>
      </c>
      <c r="C32" t="s">
        <v>38</v>
      </c>
      <c r="D32" t="s">
        <v>17</v>
      </c>
      <c r="E32" t="s">
        <v>39</v>
      </c>
      <c r="F32">
        <v>238</v>
      </c>
      <c r="G32">
        <v>243</v>
      </c>
      <c r="H32" s="7">
        <f t="shared" si="2"/>
        <v>0.17332382310984309</v>
      </c>
    </row>
    <row r="33" spans="1:8">
      <c r="A33">
        <v>1</v>
      </c>
      <c r="B33" t="s">
        <v>8</v>
      </c>
      <c r="C33" t="s">
        <v>41</v>
      </c>
      <c r="D33" t="s">
        <v>17</v>
      </c>
      <c r="E33" t="s">
        <v>33</v>
      </c>
      <c r="F33">
        <v>109</v>
      </c>
      <c r="G33">
        <v>115</v>
      </c>
      <c r="H33" s="7">
        <f t="shared" si="2"/>
        <v>8.2025677603423677E-2</v>
      </c>
    </row>
    <row r="34" spans="1:8">
      <c r="A34">
        <v>1</v>
      </c>
      <c r="B34" t="s">
        <v>8</v>
      </c>
      <c r="C34" t="s">
        <v>42</v>
      </c>
      <c r="D34" t="s">
        <v>17</v>
      </c>
      <c r="E34" t="s">
        <v>43</v>
      </c>
      <c r="F34">
        <v>116</v>
      </c>
      <c r="G34">
        <v>110</v>
      </c>
      <c r="H34" s="7">
        <f t="shared" si="2"/>
        <v>7.8459343794579167E-2</v>
      </c>
    </row>
    <row r="35" spans="1:8">
      <c r="A35">
        <v>1</v>
      </c>
      <c r="B35" t="s">
        <v>8</v>
      </c>
      <c r="C35" t="s">
        <v>45</v>
      </c>
      <c r="D35" t="s">
        <v>20</v>
      </c>
      <c r="E35" t="s">
        <v>46</v>
      </c>
      <c r="F35">
        <v>122</v>
      </c>
      <c r="G35">
        <v>120</v>
      </c>
      <c r="H35" s="7">
        <f t="shared" si="2"/>
        <v>8.5592011412268187E-2</v>
      </c>
    </row>
    <row r="36" spans="1:8">
      <c r="A36">
        <v>1</v>
      </c>
      <c r="B36" t="s">
        <v>8</v>
      </c>
      <c r="C36" t="s">
        <v>48</v>
      </c>
      <c r="D36" t="s">
        <v>20</v>
      </c>
      <c r="E36" t="s">
        <v>36</v>
      </c>
      <c r="F36">
        <v>87</v>
      </c>
      <c r="G36">
        <v>92</v>
      </c>
      <c r="H36" s="7">
        <f t="shared" si="2"/>
        <v>6.5620542082738945E-2</v>
      </c>
    </row>
    <row r="37" spans="1:8">
      <c r="A37">
        <v>1</v>
      </c>
      <c r="B37" t="s">
        <v>8</v>
      </c>
      <c r="C37" t="s">
        <v>49</v>
      </c>
      <c r="D37" t="s">
        <v>20</v>
      </c>
      <c r="E37" t="s">
        <v>50</v>
      </c>
      <c r="F37">
        <v>77</v>
      </c>
      <c r="G37">
        <v>74</v>
      </c>
      <c r="H37" s="7">
        <f t="shared" si="2"/>
        <v>5.2781740370898715E-2</v>
      </c>
    </row>
    <row r="38" spans="1:8">
      <c r="A38">
        <v>1</v>
      </c>
      <c r="B38" t="s">
        <v>8</v>
      </c>
      <c r="C38" t="s">
        <v>52</v>
      </c>
      <c r="D38" t="s">
        <v>23</v>
      </c>
      <c r="E38" t="s">
        <v>39</v>
      </c>
      <c r="F38">
        <v>67</v>
      </c>
      <c r="G38">
        <v>69</v>
      </c>
      <c r="H38" s="7">
        <f t="shared" si="2"/>
        <v>4.9215406562054205E-2</v>
      </c>
    </row>
    <row r="39" spans="1:8">
      <c r="A39">
        <v>1</v>
      </c>
      <c r="B39" t="s">
        <v>8</v>
      </c>
      <c r="C39" t="s">
        <v>53</v>
      </c>
      <c r="D39" t="s">
        <v>23</v>
      </c>
      <c r="E39" t="s">
        <v>54</v>
      </c>
      <c r="F39">
        <v>79</v>
      </c>
      <c r="G39">
        <v>76</v>
      </c>
      <c r="H39" s="7">
        <f t="shared" si="2"/>
        <v>5.4208273894436519E-2</v>
      </c>
    </row>
    <row r="40" spans="1:8">
      <c r="A40">
        <v>1</v>
      </c>
      <c r="B40" t="s">
        <v>8</v>
      </c>
      <c r="C40" t="s">
        <v>56</v>
      </c>
      <c r="D40" t="s">
        <v>23</v>
      </c>
      <c r="E40" t="s">
        <v>50</v>
      </c>
      <c r="F40">
        <v>58</v>
      </c>
      <c r="G40">
        <v>57</v>
      </c>
      <c r="H40" s="7">
        <f t="shared" si="2"/>
        <v>4.0656205420827388E-2</v>
      </c>
    </row>
    <row r="41" spans="1:8">
      <c r="A41">
        <v>1</v>
      </c>
      <c r="B41" t="s">
        <v>8</v>
      </c>
      <c r="C41" t="s">
        <v>57</v>
      </c>
      <c r="D41" t="s">
        <v>23</v>
      </c>
      <c r="E41" t="s">
        <v>43</v>
      </c>
      <c r="F41">
        <v>44</v>
      </c>
      <c r="G41">
        <v>42</v>
      </c>
      <c r="H41" s="7">
        <f t="shared" si="2"/>
        <v>2.9957203994293864E-2</v>
      </c>
    </row>
    <row r="42" spans="1:8">
      <c r="A42">
        <v>1</v>
      </c>
      <c r="B42" t="s">
        <v>8</v>
      </c>
      <c r="C42" t="s">
        <v>58</v>
      </c>
      <c r="D42" t="s">
        <v>26</v>
      </c>
      <c r="E42" t="s">
        <v>46</v>
      </c>
      <c r="F42">
        <v>99</v>
      </c>
      <c r="G42">
        <v>102</v>
      </c>
      <c r="H42" s="7">
        <f t="shared" si="2"/>
        <v>7.2753209700427965E-2</v>
      </c>
    </row>
    <row r="43" spans="1:8">
      <c r="A43">
        <v>1</v>
      </c>
      <c r="B43" t="s">
        <v>8</v>
      </c>
      <c r="C43" t="s">
        <v>59</v>
      </c>
      <c r="D43" t="s">
        <v>26</v>
      </c>
      <c r="E43" t="s">
        <v>54</v>
      </c>
      <c r="F43">
        <v>66</v>
      </c>
      <c r="G43">
        <v>68</v>
      </c>
      <c r="H43" s="7">
        <f t="shared" si="2"/>
        <v>4.850213980028531E-2</v>
      </c>
    </row>
    <row r="44" spans="1:8">
      <c r="A44">
        <v>1</v>
      </c>
      <c r="B44" t="s">
        <v>9</v>
      </c>
      <c r="C44" t="s">
        <v>32</v>
      </c>
      <c r="D44" t="s">
        <v>14</v>
      </c>
      <c r="E44" t="s">
        <v>33</v>
      </c>
      <c r="F44">
        <v>158</v>
      </c>
      <c r="G44">
        <v>157</v>
      </c>
      <c r="H44" s="7">
        <f>G44/SUM($G$44:$G$57)</f>
        <v>0.11017543859649123</v>
      </c>
    </row>
    <row r="45" spans="1:8">
      <c r="A45">
        <v>1</v>
      </c>
      <c r="B45" t="s">
        <v>9</v>
      </c>
      <c r="C45" t="s">
        <v>35</v>
      </c>
      <c r="D45" t="s">
        <v>14</v>
      </c>
      <c r="E45" t="s">
        <v>36</v>
      </c>
      <c r="F45">
        <v>86</v>
      </c>
      <c r="G45">
        <v>84</v>
      </c>
      <c r="H45" s="7">
        <f t="shared" ref="H45:H57" si="3">G45/SUM($G$44:$G$57)</f>
        <v>5.894736842105263E-2</v>
      </c>
    </row>
    <row r="46" spans="1:8">
      <c r="A46">
        <v>1</v>
      </c>
      <c r="B46" t="s">
        <v>9</v>
      </c>
      <c r="C46" t="s">
        <v>38</v>
      </c>
      <c r="D46" t="s">
        <v>17</v>
      </c>
      <c r="E46" t="s">
        <v>39</v>
      </c>
      <c r="F46">
        <v>242</v>
      </c>
      <c r="G46">
        <v>250</v>
      </c>
      <c r="H46" s="7">
        <f t="shared" si="3"/>
        <v>0.17543859649122806</v>
      </c>
    </row>
    <row r="47" spans="1:8">
      <c r="A47">
        <v>1</v>
      </c>
      <c r="B47" t="s">
        <v>9</v>
      </c>
      <c r="C47" t="s">
        <v>41</v>
      </c>
      <c r="D47" t="s">
        <v>17</v>
      </c>
      <c r="E47" t="s">
        <v>33</v>
      </c>
      <c r="F47">
        <v>111</v>
      </c>
      <c r="G47">
        <v>112</v>
      </c>
      <c r="H47" s="7">
        <f t="shared" si="3"/>
        <v>7.8596491228070178E-2</v>
      </c>
    </row>
    <row r="48" spans="1:8">
      <c r="A48">
        <v>1</v>
      </c>
      <c r="B48" t="s">
        <v>9</v>
      </c>
      <c r="C48" t="s">
        <v>42</v>
      </c>
      <c r="D48" t="s">
        <v>17</v>
      </c>
      <c r="E48" t="s">
        <v>43</v>
      </c>
      <c r="F48">
        <v>118</v>
      </c>
      <c r="G48">
        <v>120</v>
      </c>
      <c r="H48" s="7">
        <f t="shared" si="3"/>
        <v>8.4210526315789472E-2</v>
      </c>
    </row>
    <row r="49" spans="1:8">
      <c r="A49">
        <v>1</v>
      </c>
      <c r="B49" t="s">
        <v>9</v>
      </c>
      <c r="C49" t="s">
        <v>45</v>
      </c>
      <c r="D49" t="s">
        <v>20</v>
      </c>
      <c r="E49" t="s">
        <v>46</v>
      </c>
      <c r="F49">
        <v>124</v>
      </c>
      <c r="G49">
        <v>123</v>
      </c>
      <c r="H49" s="7">
        <f t="shared" si="3"/>
        <v>8.6315789473684207E-2</v>
      </c>
    </row>
    <row r="50" spans="1:8">
      <c r="A50">
        <v>1</v>
      </c>
      <c r="B50" t="s">
        <v>9</v>
      </c>
      <c r="C50" t="s">
        <v>48</v>
      </c>
      <c r="D50" t="s">
        <v>20</v>
      </c>
      <c r="E50" t="s">
        <v>36</v>
      </c>
      <c r="F50">
        <v>89</v>
      </c>
      <c r="G50">
        <v>86</v>
      </c>
      <c r="H50" s="7">
        <f t="shared" si="3"/>
        <v>6.0350877192982454E-2</v>
      </c>
    </row>
    <row r="51" spans="1:8">
      <c r="A51">
        <v>1</v>
      </c>
      <c r="B51" t="s">
        <v>9</v>
      </c>
      <c r="C51" t="s">
        <v>49</v>
      </c>
      <c r="D51" t="s">
        <v>20</v>
      </c>
      <c r="E51" t="s">
        <v>50</v>
      </c>
      <c r="F51">
        <v>78</v>
      </c>
      <c r="G51">
        <v>83</v>
      </c>
      <c r="H51" s="7">
        <f t="shared" si="3"/>
        <v>5.8245614035087719E-2</v>
      </c>
    </row>
    <row r="52" spans="1:8">
      <c r="A52">
        <v>1</v>
      </c>
      <c r="B52" t="s">
        <v>9</v>
      </c>
      <c r="C52" t="s">
        <v>52</v>
      </c>
      <c r="D52" t="s">
        <v>23</v>
      </c>
      <c r="E52" t="s">
        <v>39</v>
      </c>
      <c r="F52">
        <v>69</v>
      </c>
      <c r="G52">
        <v>71</v>
      </c>
      <c r="H52" s="7">
        <f t="shared" si="3"/>
        <v>4.9824561403508771E-2</v>
      </c>
    </row>
    <row r="53" spans="1:8">
      <c r="A53">
        <v>1</v>
      </c>
      <c r="B53" t="s">
        <v>9</v>
      </c>
      <c r="C53" t="s">
        <v>53</v>
      </c>
      <c r="D53" t="s">
        <v>23</v>
      </c>
      <c r="E53" t="s">
        <v>54</v>
      </c>
      <c r="F53">
        <v>80</v>
      </c>
      <c r="G53">
        <v>75</v>
      </c>
      <c r="H53" s="7">
        <f t="shared" si="3"/>
        <v>5.2631578947368418E-2</v>
      </c>
    </row>
    <row r="54" spans="1:8">
      <c r="A54">
        <v>1</v>
      </c>
      <c r="B54" t="s">
        <v>9</v>
      </c>
      <c r="C54" t="s">
        <v>56</v>
      </c>
      <c r="D54" t="s">
        <v>23</v>
      </c>
      <c r="E54" t="s">
        <v>50</v>
      </c>
      <c r="F54">
        <v>59</v>
      </c>
      <c r="G54">
        <v>59</v>
      </c>
      <c r="H54" s="7">
        <f t="shared" si="3"/>
        <v>4.1403508771929824E-2</v>
      </c>
    </row>
    <row r="55" spans="1:8">
      <c r="A55">
        <v>1</v>
      </c>
      <c r="B55" t="s">
        <v>9</v>
      </c>
      <c r="C55" t="s">
        <v>57</v>
      </c>
      <c r="D55" t="s">
        <v>23</v>
      </c>
      <c r="E55" t="s">
        <v>43</v>
      </c>
      <c r="F55">
        <v>44</v>
      </c>
      <c r="G55">
        <v>44</v>
      </c>
      <c r="H55" s="7">
        <f t="shared" si="3"/>
        <v>3.0877192982456142E-2</v>
      </c>
    </row>
    <row r="56" spans="1:8">
      <c r="A56">
        <v>1</v>
      </c>
      <c r="B56" t="s">
        <v>9</v>
      </c>
      <c r="C56" t="s">
        <v>58</v>
      </c>
      <c r="D56" t="s">
        <v>26</v>
      </c>
      <c r="E56" t="s">
        <v>46</v>
      </c>
      <c r="F56">
        <v>101</v>
      </c>
      <c r="G56">
        <v>95</v>
      </c>
      <c r="H56" s="7">
        <f t="shared" si="3"/>
        <v>6.6666666666666666E-2</v>
      </c>
    </row>
    <row r="57" spans="1:8">
      <c r="A57">
        <v>1</v>
      </c>
      <c r="B57" t="s">
        <v>9</v>
      </c>
      <c r="C57" t="s">
        <v>59</v>
      </c>
      <c r="D57" t="s">
        <v>26</v>
      </c>
      <c r="E57" t="s">
        <v>54</v>
      </c>
      <c r="F57">
        <v>67</v>
      </c>
      <c r="G57">
        <v>66</v>
      </c>
      <c r="H57" s="7">
        <f t="shared" si="3"/>
        <v>4.6315789473684213E-2</v>
      </c>
    </row>
    <row r="58" spans="1:8">
      <c r="A58">
        <v>2</v>
      </c>
      <c r="B58" t="s">
        <v>6</v>
      </c>
      <c r="C58" t="s">
        <v>32</v>
      </c>
      <c r="D58" t="s">
        <v>14</v>
      </c>
      <c r="E58" t="s">
        <v>33</v>
      </c>
      <c r="F58">
        <v>161</v>
      </c>
      <c r="G58">
        <v>169</v>
      </c>
      <c r="H58" s="7">
        <f>G58/SUM($G$58:$G$71)</f>
        <v>0.11520109066121335</v>
      </c>
    </row>
    <row r="59" spans="1:8">
      <c r="A59">
        <v>2</v>
      </c>
      <c r="B59" t="s">
        <v>6</v>
      </c>
      <c r="C59" t="s">
        <v>35</v>
      </c>
      <c r="D59" t="s">
        <v>14</v>
      </c>
      <c r="E59" t="s">
        <v>36</v>
      </c>
      <c r="F59">
        <v>88</v>
      </c>
      <c r="G59">
        <v>84</v>
      </c>
      <c r="H59" s="7">
        <f t="shared" ref="H59:H71" si="4">G59/SUM($G$58:$G$71)</f>
        <v>5.7259713701431493E-2</v>
      </c>
    </row>
    <row r="60" spans="1:8">
      <c r="A60">
        <v>2</v>
      </c>
      <c r="B60" t="s">
        <v>6</v>
      </c>
      <c r="C60" t="s">
        <v>38</v>
      </c>
      <c r="D60" t="s">
        <v>17</v>
      </c>
      <c r="E60" t="s">
        <v>39</v>
      </c>
      <c r="F60">
        <v>247</v>
      </c>
      <c r="G60">
        <v>260</v>
      </c>
      <c r="H60" s="7">
        <f t="shared" si="4"/>
        <v>0.17723244717109748</v>
      </c>
    </row>
    <row r="61" spans="1:8">
      <c r="A61">
        <v>2</v>
      </c>
      <c r="B61" t="s">
        <v>6</v>
      </c>
      <c r="C61" t="s">
        <v>41</v>
      </c>
      <c r="D61" t="s">
        <v>17</v>
      </c>
      <c r="E61" t="s">
        <v>33</v>
      </c>
      <c r="F61">
        <v>113</v>
      </c>
      <c r="G61">
        <v>113</v>
      </c>
      <c r="H61" s="7">
        <f t="shared" si="4"/>
        <v>7.7027948193592363E-2</v>
      </c>
    </row>
    <row r="62" spans="1:8">
      <c r="A62">
        <v>2</v>
      </c>
      <c r="B62" t="s">
        <v>6</v>
      </c>
      <c r="C62" t="s">
        <v>42</v>
      </c>
      <c r="D62" t="s">
        <v>17</v>
      </c>
      <c r="E62" t="s">
        <v>43</v>
      </c>
      <c r="F62">
        <v>120</v>
      </c>
      <c r="G62">
        <v>116</v>
      </c>
      <c r="H62" s="7">
        <f t="shared" si="4"/>
        <v>7.9072937968643495E-2</v>
      </c>
    </row>
    <row r="63" spans="1:8">
      <c r="A63">
        <v>2</v>
      </c>
      <c r="B63" t="s">
        <v>6</v>
      </c>
      <c r="C63" t="s">
        <v>45</v>
      </c>
      <c r="D63" t="s">
        <v>20</v>
      </c>
      <c r="E63" t="s">
        <v>46</v>
      </c>
      <c r="F63">
        <v>126</v>
      </c>
      <c r="G63">
        <v>127</v>
      </c>
      <c r="H63" s="7">
        <f t="shared" si="4"/>
        <v>8.6571233810497611E-2</v>
      </c>
    </row>
    <row r="64" spans="1:8">
      <c r="A64">
        <v>2</v>
      </c>
      <c r="B64" t="s">
        <v>6</v>
      </c>
      <c r="C64" t="s">
        <v>48</v>
      </c>
      <c r="D64" t="s">
        <v>20</v>
      </c>
      <c r="E64" t="s">
        <v>36</v>
      </c>
      <c r="F64">
        <v>90</v>
      </c>
      <c r="G64">
        <v>92</v>
      </c>
      <c r="H64" s="7">
        <f t="shared" si="4"/>
        <v>6.2713019768234499E-2</v>
      </c>
    </row>
    <row r="65" spans="1:8">
      <c r="A65">
        <v>2</v>
      </c>
      <c r="B65" t="s">
        <v>6</v>
      </c>
      <c r="C65" t="s">
        <v>49</v>
      </c>
      <c r="D65" t="s">
        <v>20</v>
      </c>
      <c r="E65" t="s">
        <v>50</v>
      </c>
      <c r="F65">
        <v>79</v>
      </c>
      <c r="G65">
        <v>76</v>
      </c>
      <c r="H65" s="7">
        <f t="shared" si="4"/>
        <v>5.1806407634628494E-2</v>
      </c>
    </row>
    <row r="66" spans="1:8">
      <c r="A66">
        <v>2</v>
      </c>
      <c r="B66" t="s">
        <v>6</v>
      </c>
      <c r="C66" t="s">
        <v>52</v>
      </c>
      <c r="D66" t="s">
        <v>23</v>
      </c>
      <c r="E66" t="s">
        <v>39</v>
      </c>
      <c r="F66">
        <v>70</v>
      </c>
      <c r="G66">
        <v>74</v>
      </c>
      <c r="H66" s="7">
        <f t="shared" si="4"/>
        <v>5.0443081117927745E-2</v>
      </c>
    </row>
    <row r="67" spans="1:8">
      <c r="A67">
        <v>2</v>
      </c>
      <c r="B67" t="s">
        <v>6</v>
      </c>
      <c r="C67" t="s">
        <v>53</v>
      </c>
      <c r="D67" t="s">
        <v>23</v>
      </c>
      <c r="E67" t="s">
        <v>54</v>
      </c>
      <c r="F67">
        <v>81</v>
      </c>
      <c r="G67">
        <v>78</v>
      </c>
      <c r="H67" s="7">
        <f t="shared" si="4"/>
        <v>5.3169734151329244E-2</v>
      </c>
    </row>
    <row r="68" spans="1:8">
      <c r="A68">
        <v>2</v>
      </c>
      <c r="B68" t="s">
        <v>6</v>
      </c>
      <c r="C68" t="s">
        <v>56</v>
      </c>
      <c r="D68" t="s">
        <v>23</v>
      </c>
      <c r="E68" t="s">
        <v>50</v>
      </c>
      <c r="F68">
        <v>60</v>
      </c>
      <c r="G68">
        <v>63</v>
      </c>
      <c r="H68" s="7">
        <f t="shared" si="4"/>
        <v>4.2944785276073622E-2</v>
      </c>
    </row>
    <row r="69" spans="1:8">
      <c r="A69">
        <v>2</v>
      </c>
      <c r="B69" t="s">
        <v>6</v>
      </c>
      <c r="C69" t="s">
        <v>57</v>
      </c>
      <c r="D69" t="s">
        <v>23</v>
      </c>
      <c r="E69" t="s">
        <v>43</v>
      </c>
      <c r="F69">
        <v>45</v>
      </c>
      <c r="G69">
        <v>43</v>
      </c>
      <c r="H69" s="7">
        <f t="shared" si="4"/>
        <v>2.9311520109066121E-2</v>
      </c>
    </row>
    <row r="70" spans="1:8">
      <c r="A70">
        <v>2</v>
      </c>
      <c r="B70" t="s">
        <v>6</v>
      </c>
      <c r="C70" t="s">
        <v>58</v>
      </c>
      <c r="D70" t="s">
        <v>26</v>
      </c>
      <c r="E70" t="s">
        <v>46</v>
      </c>
      <c r="F70">
        <v>103</v>
      </c>
      <c r="G70">
        <v>101</v>
      </c>
      <c r="H70" s="7">
        <f t="shared" si="4"/>
        <v>6.8847989093387865E-2</v>
      </c>
    </row>
    <row r="71" spans="1:8">
      <c r="A71">
        <v>2</v>
      </c>
      <c r="B71" t="s">
        <v>6</v>
      </c>
      <c r="C71" t="s">
        <v>59</v>
      </c>
      <c r="D71" t="s">
        <v>26</v>
      </c>
      <c r="E71" t="s">
        <v>54</v>
      </c>
      <c r="F71">
        <v>69</v>
      </c>
      <c r="G71">
        <v>71</v>
      </c>
      <c r="H71" s="7">
        <f t="shared" si="4"/>
        <v>4.839809134287662E-2</v>
      </c>
    </row>
    <row r="72" spans="1:8">
      <c r="A72">
        <v>2</v>
      </c>
      <c r="B72" t="s">
        <v>7</v>
      </c>
      <c r="C72" t="s">
        <v>32</v>
      </c>
      <c r="D72" t="s">
        <v>14</v>
      </c>
      <c r="E72" t="s">
        <v>33</v>
      </c>
      <c r="F72">
        <v>164</v>
      </c>
      <c r="G72">
        <v>159</v>
      </c>
      <c r="H72" s="7">
        <f>G72/SUM($G$72:$G$85)</f>
        <v>0.10772357723577236</v>
      </c>
    </row>
    <row r="73" spans="1:8">
      <c r="A73">
        <v>2</v>
      </c>
      <c r="B73" t="s">
        <v>7</v>
      </c>
      <c r="C73" t="s">
        <v>35</v>
      </c>
      <c r="D73" t="s">
        <v>14</v>
      </c>
      <c r="E73" t="s">
        <v>36</v>
      </c>
      <c r="F73">
        <v>89</v>
      </c>
      <c r="G73">
        <v>88</v>
      </c>
      <c r="H73" s="7">
        <f t="shared" ref="H73:H85" si="5">G73/SUM($G$72:$G$85)</f>
        <v>5.9620596205962058E-2</v>
      </c>
    </row>
    <row r="74" spans="1:8">
      <c r="A74">
        <v>2</v>
      </c>
      <c r="B74" t="s">
        <v>7</v>
      </c>
      <c r="C74" t="s">
        <v>38</v>
      </c>
      <c r="D74" t="s">
        <v>17</v>
      </c>
      <c r="E74" t="s">
        <v>39</v>
      </c>
      <c r="F74">
        <v>251</v>
      </c>
      <c r="G74">
        <v>257</v>
      </c>
      <c r="H74" s="7">
        <f t="shared" si="5"/>
        <v>0.17411924119241193</v>
      </c>
    </row>
    <row r="75" spans="1:8">
      <c r="A75">
        <v>2</v>
      </c>
      <c r="B75" t="s">
        <v>7</v>
      </c>
      <c r="C75" t="s">
        <v>41</v>
      </c>
      <c r="D75" t="s">
        <v>17</v>
      </c>
      <c r="E75" t="s">
        <v>33</v>
      </c>
      <c r="F75">
        <v>114</v>
      </c>
      <c r="G75">
        <v>109</v>
      </c>
      <c r="H75" s="7">
        <f t="shared" si="5"/>
        <v>7.3848238482384823E-2</v>
      </c>
    </row>
    <row r="76" spans="1:8">
      <c r="A76">
        <v>2</v>
      </c>
      <c r="B76" t="s">
        <v>7</v>
      </c>
      <c r="C76" t="s">
        <v>42</v>
      </c>
      <c r="D76" t="s">
        <v>17</v>
      </c>
      <c r="E76" t="s">
        <v>43</v>
      </c>
      <c r="F76">
        <v>122</v>
      </c>
      <c r="G76">
        <v>126</v>
      </c>
      <c r="H76" s="7">
        <f t="shared" si="5"/>
        <v>8.5365853658536592E-2</v>
      </c>
    </row>
    <row r="77" spans="1:8">
      <c r="A77">
        <v>2</v>
      </c>
      <c r="B77" t="s">
        <v>7</v>
      </c>
      <c r="C77" t="s">
        <v>45</v>
      </c>
      <c r="D77" t="s">
        <v>20</v>
      </c>
      <c r="E77" t="s">
        <v>46</v>
      </c>
      <c r="F77">
        <v>129</v>
      </c>
      <c r="G77">
        <v>126</v>
      </c>
      <c r="H77" s="7">
        <f t="shared" si="5"/>
        <v>8.5365853658536592E-2</v>
      </c>
    </row>
    <row r="78" spans="1:8">
      <c r="A78">
        <v>2</v>
      </c>
      <c r="B78" t="s">
        <v>7</v>
      </c>
      <c r="C78" t="s">
        <v>48</v>
      </c>
      <c r="D78" t="s">
        <v>20</v>
      </c>
      <c r="E78" t="s">
        <v>36</v>
      </c>
      <c r="F78">
        <v>92</v>
      </c>
      <c r="G78">
        <v>91</v>
      </c>
      <c r="H78" s="7">
        <f t="shared" si="5"/>
        <v>6.1653116531165314E-2</v>
      </c>
    </row>
    <row r="79" spans="1:8">
      <c r="A79">
        <v>2</v>
      </c>
      <c r="B79" t="s">
        <v>7</v>
      </c>
      <c r="C79" t="s">
        <v>49</v>
      </c>
      <c r="D79" t="s">
        <v>20</v>
      </c>
      <c r="E79" t="s">
        <v>50</v>
      </c>
      <c r="F79">
        <v>81</v>
      </c>
      <c r="G79">
        <v>84</v>
      </c>
      <c r="H79" s="7">
        <f t="shared" si="5"/>
        <v>5.6910569105691054E-2</v>
      </c>
    </row>
    <row r="80" spans="1:8">
      <c r="A80">
        <v>2</v>
      </c>
      <c r="B80" t="s">
        <v>7</v>
      </c>
      <c r="C80" t="s">
        <v>52</v>
      </c>
      <c r="D80" t="s">
        <v>23</v>
      </c>
      <c r="E80" t="s">
        <v>39</v>
      </c>
      <c r="F80">
        <v>71</v>
      </c>
      <c r="G80">
        <v>67</v>
      </c>
      <c r="H80" s="7">
        <f t="shared" si="5"/>
        <v>4.5392953929539293E-2</v>
      </c>
    </row>
    <row r="81" spans="1:8">
      <c r="A81">
        <v>2</v>
      </c>
      <c r="B81" t="s">
        <v>7</v>
      </c>
      <c r="C81" t="s">
        <v>53</v>
      </c>
      <c r="D81" t="s">
        <v>23</v>
      </c>
      <c r="E81" t="s">
        <v>54</v>
      </c>
      <c r="F81">
        <v>83</v>
      </c>
      <c r="G81">
        <v>83</v>
      </c>
      <c r="H81" s="7">
        <f t="shared" si="5"/>
        <v>5.6233062330623307E-2</v>
      </c>
    </row>
    <row r="82" spans="1:8">
      <c r="A82">
        <v>2</v>
      </c>
      <c r="B82" t="s">
        <v>7</v>
      </c>
      <c r="C82" t="s">
        <v>56</v>
      </c>
      <c r="D82" t="s">
        <v>23</v>
      </c>
      <c r="E82" t="s">
        <v>50</v>
      </c>
      <c r="F82">
        <v>61</v>
      </c>
      <c r="G82">
        <v>61</v>
      </c>
      <c r="H82" s="7">
        <f t="shared" si="5"/>
        <v>4.1327913279132794E-2</v>
      </c>
    </row>
    <row r="83" spans="1:8">
      <c r="A83">
        <v>2</v>
      </c>
      <c r="B83" t="s">
        <v>7</v>
      </c>
      <c r="C83" t="s">
        <v>57</v>
      </c>
      <c r="D83" t="s">
        <v>23</v>
      </c>
      <c r="E83" t="s">
        <v>43</v>
      </c>
      <c r="F83">
        <v>46</v>
      </c>
      <c r="G83">
        <v>45</v>
      </c>
      <c r="H83" s="7">
        <f t="shared" si="5"/>
        <v>3.048780487804878E-2</v>
      </c>
    </row>
    <row r="84" spans="1:8">
      <c r="A84">
        <v>2</v>
      </c>
      <c r="B84" t="s">
        <v>7</v>
      </c>
      <c r="C84" t="s">
        <v>58</v>
      </c>
      <c r="D84" t="s">
        <v>26</v>
      </c>
      <c r="E84" t="s">
        <v>46</v>
      </c>
      <c r="F84">
        <v>105</v>
      </c>
      <c r="G84">
        <v>110</v>
      </c>
      <c r="H84" s="7">
        <f t="shared" si="5"/>
        <v>7.4525745257452577E-2</v>
      </c>
    </row>
    <row r="85" spans="1:8">
      <c r="A85">
        <v>2</v>
      </c>
      <c r="B85" t="s">
        <v>7</v>
      </c>
      <c r="C85" t="s">
        <v>59</v>
      </c>
      <c r="D85" t="s">
        <v>26</v>
      </c>
      <c r="E85" t="s">
        <v>54</v>
      </c>
      <c r="F85">
        <v>70</v>
      </c>
      <c r="G85">
        <v>70</v>
      </c>
      <c r="H85" s="7">
        <f t="shared" si="5"/>
        <v>4.7425474254742549E-2</v>
      </c>
    </row>
    <row r="86" spans="1:8">
      <c r="A86">
        <v>2</v>
      </c>
      <c r="B86" t="s">
        <v>8</v>
      </c>
      <c r="C86" t="s">
        <v>32</v>
      </c>
      <c r="D86" t="s">
        <v>14</v>
      </c>
      <c r="E86" t="s">
        <v>33</v>
      </c>
      <c r="F86">
        <v>166</v>
      </c>
      <c r="G86">
        <v>172</v>
      </c>
      <c r="H86" s="7">
        <f>G86/SUM($G$86:$G$99)</f>
        <v>0.112565445026178</v>
      </c>
    </row>
    <row r="87" spans="1:8">
      <c r="A87">
        <v>2</v>
      </c>
      <c r="B87" t="s">
        <v>8</v>
      </c>
      <c r="C87" t="s">
        <v>35</v>
      </c>
      <c r="D87" t="s">
        <v>14</v>
      </c>
      <c r="E87" t="s">
        <v>36</v>
      </c>
      <c r="F87">
        <v>91</v>
      </c>
      <c r="G87">
        <v>88</v>
      </c>
      <c r="H87" s="7">
        <f t="shared" ref="H87:H99" si="6">G87/SUM($G$86:$G$99)</f>
        <v>5.7591623036649213E-2</v>
      </c>
    </row>
    <row r="88" spans="1:8">
      <c r="A88">
        <v>2</v>
      </c>
      <c r="B88" t="s">
        <v>8</v>
      </c>
      <c r="C88" t="s">
        <v>38</v>
      </c>
      <c r="D88" t="s">
        <v>17</v>
      </c>
      <c r="E88" t="s">
        <v>39</v>
      </c>
      <c r="F88">
        <v>255</v>
      </c>
      <c r="G88">
        <v>261</v>
      </c>
      <c r="H88" s="7">
        <f t="shared" si="6"/>
        <v>0.17081151832460734</v>
      </c>
    </row>
    <row r="89" spans="1:8">
      <c r="A89">
        <v>2</v>
      </c>
      <c r="B89" t="s">
        <v>8</v>
      </c>
      <c r="C89" t="s">
        <v>41</v>
      </c>
      <c r="D89" t="s">
        <v>17</v>
      </c>
      <c r="E89" t="s">
        <v>33</v>
      </c>
      <c r="F89">
        <v>116</v>
      </c>
      <c r="G89">
        <v>111</v>
      </c>
      <c r="H89" s="7">
        <f t="shared" si="6"/>
        <v>7.2643979057591623E-2</v>
      </c>
    </row>
    <row r="90" spans="1:8">
      <c r="A90">
        <v>2</v>
      </c>
      <c r="B90" t="s">
        <v>8</v>
      </c>
      <c r="C90" t="s">
        <v>42</v>
      </c>
      <c r="D90" t="s">
        <v>17</v>
      </c>
      <c r="E90" t="s">
        <v>43</v>
      </c>
      <c r="F90">
        <v>124</v>
      </c>
      <c r="G90">
        <v>128</v>
      </c>
      <c r="H90" s="7">
        <f t="shared" si="6"/>
        <v>8.3769633507853408E-2</v>
      </c>
    </row>
    <row r="91" spans="1:8">
      <c r="A91">
        <v>2</v>
      </c>
      <c r="B91" t="s">
        <v>8</v>
      </c>
      <c r="C91" t="s">
        <v>45</v>
      </c>
      <c r="D91" t="s">
        <v>20</v>
      </c>
      <c r="E91" t="s">
        <v>46</v>
      </c>
      <c r="F91">
        <v>131</v>
      </c>
      <c r="G91">
        <v>132</v>
      </c>
      <c r="H91" s="7">
        <f t="shared" si="6"/>
        <v>8.6387434554973816E-2</v>
      </c>
    </row>
    <row r="92" spans="1:8">
      <c r="A92">
        <v>2</v>
      </c>
      <c r="B92" t="s">
        <v>8</v>
      </c>
      <c r="C92" t="s">
        <v>48</v>
      </c>
      <c r="D92" t="s">
        <v>20</v>
      </c>
      <c r="E92" t="s">
        <v>36</v>
      </c>
      <c r="F92">
        <v>93</v>
      </c>
      <c r="G92">
        <v>97</v>
      </c>
      <c r="H92" s="7">
        <f t="shared" si="6"/>
        <v>6.3481675392670162E-2</v>
      </c>
    </row>
    <row r="93" spans="1:8">
      <c r="A93">
        <v>2</v>
      </c>
      <c r="B93" t="s">
        <v>8</v>
      </c>
      <c r="C93" t="s">
        <v>49</v>
      </c>
      <c r="D93" t="s">
        <v>20</v>
      </c>
      <c r="E93" t="s">
        <v>50</v>
      </c>
      <c r="F93">
        <v>82</v>
      </c>
      <c r="G93">
        <v>83</v>
      </c>
      <c r="H93" s="7">
        <f t="shared" si="6"/>
        <v>5.4319371727748693E-2</v>
      </c>
    </row>
    <row r="94" spans="1:8">
      <c r="A94">
        <v>2</v>
      </c>
      <c r="B94" t="s">
        <v>8</v>
      </c>
      <c r="C94" t="s">
        <v>52</v>
      </c>
      <c r="D94" t="s">
        <v>23</v>
      </c>
      <c r="E94" t="s">
        <v>39</v>
      </c>
      <c r="F94">
        <v>72</v>
      </c>
      <c r="G94">
        <v>76</v>
      </c>
      <c r="H94" s="7">
        <f t="shared" si="6"/>
        <v>4.9738219895287955E-2</v>
      </c>
    </row>
    <row r="95" spans="1:8">
      <c r="A95">
        <v>2</v>
      </c>
      <c r="B95" t="s">
        <v>8</v>
      </c>
      <c r="C95" t="s">
        <v>53</v>
      </c>
      <c r="D95" t="s">
        <v>23</v>
      </c>
      <c r="E95" t="s">
        <v>54</v>
      </c>
      <c r="F95">
        <v>84</v>
      </c>
      <c r="G95">
        <v>86</v>
      </c>
      <c r="H95" s="7">
        <f t="shared" si="6"/>
        <v>5.6282722513089002E-2</v>
      </c>
    </row>
    <row r="96" spans="1:8">
      <c r="A96">
        <v>2</v>
      </c>
      <c r="B96" t="s">
        <v>8</v>
      </c>
      <c r="C96" t="s">
        <v>56</v>
      </c>
      <c r="D96" t="s">
        <v>23</v>
      </c>
      <c r="E96" t="s">
        <v>50</v>
      </c>
      <c r="F96">
        <v>62</v>
      </c>
      <c r="G96">
        <v>62</v>
      </c>
      <c r="H96" s="7">
        <f t="shared" si="6"/>
        <v>4.0575916230366493E-2</v>
      </c>
    </row>
    <row r="97" spans="1:8">
      <c r="A97">
        <v>2</v>
      </c>
      <c r="B97" t="s">
        <v>8</v>
      </c>
      <c r="C97" t="s">
        <v>57</v>
      </c>
      <c r="D97" t="s">
        <v>23</v>
      </c>
      <c r="E97" t="s">
        <v>43</v>
      </c>
      <c r="F97">
        <v>47</v>
      </c>
      <c r="G97">
        <v>47</v>
      </c>
      <c r="H97" s="7">
        <f t="shared" si="6"/>
        <v>3.0759162303664923E-2</v>
      </c>
    </row>
    <row r="98" spans="1:8">
      <c r="A98">
        <v>2</v>
      </c>
      <c r="B98" t="s">
        <v>8</v>
      </c>
      <c r="C98" t="s">
        <v>58</v>
      </c>
      <c r="D98" t="s">
        <v>26</v>
      </c>
      <c r="E98" t="s">
        <v>46</v>
      </c>
      <c r="F98">
        <v>106</v>
      </c>
      <c r="G98">
        <v>113</v>
      </c>
      <c r="H98" s="7">
        <f t="shared" si="6"/>
        <v>7.3952879581151834E-2</v>
      </c>
    </row>
    <row r="99" spans="1:8">
      <c r="A99">
        <v>2</v>
      </c>
      <c r="B99" t="s">
        <v>8</v>
      </c>
      <c r="C99" t="s">
        <v>59</v>
      </c>
      <c r="D99" t="s">
        <v>26</v>
      </c>
      <c r="E99" t="s">
        <v>54</v>
      </c>
      <c r="F99">
        <v>71</v>
      </c>
      <c r="G99">
        <v>72</v>
      </c>
      <c r="H99" s="7">
        <f t="shared" si="6"/>
        <v>4.712041884816754E-2</v>
      </c>
    </row>
    <row r="100" spans="1:8">
      <c r="A100">
        <v>2</v>
      </c>
      <c r="B100" t="s">
        <v>9</v>
      </c>
      <c r="C100" t="s">
        <v>32</v>
      </c>
      <c r="D100" t="s">
        <v>14</v>
      </c>
      <c r="E100" t="s">
        <v>33</v>
      </c>
      <c r="F100">
        <v>169</v>
      </c>
      <c r="G100">
        <v>163</v>
      </c>
      <c r="H100" s="7">
        <f>G100/SUM($G$100:$G$113)</f>
        <v>0.1055699481865285</v>
      </c>
    </row>
    <row r="101" spans="1:8">
      <c r="A101">
        <v>2</v>
      </c>
      <c r="B101" t="s">
        <v>9</v>
      </c>
      <c r="C101" t="s">
        <v>35</v>
      </c>
      <c r="D101" t="s">
        <v>14</v>
      </c>
      <c r="E101" t="s">
        <v>36</v>
      </c>
      <c r="F101">
        <v>92</v>
      </c>
      <c r="G101">
        <v>94</v>
      </c>
      <c r="H101" s="7">
        <f t="shared" ref="H101:H113" si="7">G101/SUM($G$100:$G$113)</f>
        <v>6.0880829015544043E-2</v>
      </c>
    </row>
    <row r="102" spans="1:8">
      <c r="A102">
        <v>2</v>
      </c>
      <c r="B102" t="s">
        <v>9</v>
      </c>
      <c r="C102" t="s">
        <v>38</v>
      </c>
      <c r="D102" t="s">
        <v>17</v>
      </c>
      <c r="E102" t="s">
        <v>39</v>
      </c>
      <c r="F102">
        <v>259</v>
      </c>
      <c r="G102">
        <v>275</v>
      </c>
      <c r="H102" s="7">
        <f t="shared" si="7"/>
        <v>0.17810880829015543</v>
      </c>
    </row>
    <row r="103" spans="1:8">
      <c r="A103">
        <v>2</v>
      </c>
      <c r="B103" t="s">
        <v>9</v>
      </c>
      <c r="C103" t="s">
        <v>41</v>
      </c>
      <c r="D103" t="s">
        <v>17</v>
      </c>
      <c r="E103" t="s">
        <v>33</v>
      </c>
      <c r="F103">
        <v>118</v>
      </c>
      <c r="G103">
        <v>116</v>
      </c>
      <c r="H103" s="7">
        <f t="shared" si="7"/>
        <v>7.512953367875648E-2</v>
      </c>
    </row>
    <row r="104" spans="1:8">
      <c r="A104">
        <v>2</v>
      </c>
      <c r="B104" t="s">
        <v>9</v>
      </c>
      <c r="C104" t="s">
        <v>42</v>
      </c>
      <c r="D104" t="s">
        <v>17</v>
      </c>
      <c r="E104" t="s">
        <v>43</v>
      </c>
      <c r="F104">
        <v>126</v>
      </c>
      <c r="G104">
        <v>122</v>
      </c>
      <c r="H104" s="7">
        <f t="shared" si="7"/>
        <v>7.901554404145078E-2</v>
      </c>
    </row>
    <row r="105" spans="1:8">
      <c r="A105">
        <v>2</v>
      </c>
      <c r="B105" t="s">
        <v>9</v>
      </c>
      <c r="C105" t="s">
        <v>45</v>
      </c>
      <c r="D105" t="s">
        <v>20</v>
      </c>
      <c r="E105" t="s">
        <v>46</v>
      </c>
      <c r="F105">
        <v>133</v>
      </c>
      <c r="G105">
        <v>137</v>
      </c>
      <c r="H105" s="7">
        <f t="shared" si="7"/>
        <v>8.8730569948186525E-2</v>
      </c>
    </row>
    <row r="106" spans="1:8">
      <c r="A106">
        <v>2</v>
      </c>
      <c r="B106" t="s">
        <v>9</v>
      </c>
      <c r="C106" t="s">
        <v>48</v>
      </c>
      <c r="D106" t="s">
        <v>20</v>
      </c>
      <c r="E106" t="s">
        <v>36</v>
      </c>
      <c r="F106">
        <v>95</v>
      </c>
      <c r="G106">
        <v>99</v>
      </c>
      <c r="H106" s="7">
        <f t="shared" si="7"/>
        <v>6.4119170984455964E-2</v>
      </c>
    </row>
    <row r="107" spans="1:8">
      <c r="A107">
        <v>2</v>
      </c>
      <c r="B107" t="s">
        <v>9</v>
      </c>
      <c r="C107" t="s">
        <v>49</v>
      </c>
      <c r="D107" t="s">
        <v>20</v>
      </c>
      <c r="E107" t="s">
        <v>50</v>
      </c>
      <c r="F107">
        <v>83</v>
      </c>
      <c r="G107">
        <v>86</v>
      </c>
      <c r="H107" s="7">
        <f t="shared" si="7"/>
        <v>5.5699481865284971E-2</v>
      </c>
    </row>
    <row r="108" spans="1:8">
      <c r="A108">
        <v>2</v>
      </c>
      <c r="B108" t="s">
        <v>9</v>
      </c>
      <c r="C108" t="s">
        <v>52</v>
      </c>
      <c r="D108" t="s">
        <v>23</v>
      </c>
      <c r="E108" t="s">
        <v>39</v>
      </c>
      <c r="F108">
        <v>73</v>
      </c>
      <c r="G108">
        <v>72</v>
      </c>
      <c r="H108" s="7">
        <f t="shared" si="7"/>
        <v>4.6632124352331605E-2</v>
      </c>
    </row>
    <row r="109" spans="1:8">
      <c r="A109">
        <v>2</v>
      </c>
      <c r="B109" t="s">
        <v>9</v>
      </c>
      <c r="C109" t="s">
        <v>53</v>
      </c>
      <c r="D109" t="s">
        <v>23</v>
      </c>
      <c r="E109" t="s">
        <v>54</v>
      </c>
      <c r="F109">
        <v>86</v>
      </c>
      <c r="G109">
        <v>91</v>
      </c>
      <c r="H109" s="7">
        <f t="shared" si="7"/>
        <v>5.8937823834196892E-2</v>
      </c>
    </row>
    <row r="110" spans="1:8">
      <c r="A110">
        <v>2</v>
      </c>
      <c r="B110" t="s">
        <v>9</v>
      </c>
      <c r="C110" t="s">
        <v>56</v>
      </c>
      <c r="D110" t="s">
        <v>23</v>
      </c>
      <c r="E110" t="s">
        <v>50</v>
      </c>
      <c r="F110">
        <v>63</v>
      </c>
      <c r="G110">
        <v>64</v>
      </c>
      <c r="H110" s="7">
        <f t="shared" si="7"/>
        <v>4.145077720207254E-2</v>
      </c>
    </row>
    <row r="111" spans="1:8">
      <c r="A111">
        <v>2</v>
      </c>
      <c r="B111" t="s">
        <v>9</v>
      </c>
      <c r="C111" t="s">
        <v>57</v>
      </c>
      <c r="D111" t="s">
        <v>23</v>
      </c>
      <c r="E111" t="s">
        <v>43</v>
      </c>
      <c r="F111">
        <v>47</v>
      </c>
      <c r="G111">
        <v>45</v>
      </c>
      <c r="H111" s="7">
        <f t="shared" si="7"/>
        <v>2.9145077720207253E-2</v>
      </c>
    </row>
    <row r="112" spans="1:8">
      <c r="A112">
        <v>2</v>
      </c>
      <c r="B112" t="s">
        <v>9</v>
      </c>
      <c r="C112" t="s">
        <v>58</v>
      </c>
      <c r="D112" t="s">
        <v>26</v>
      </c>
      <c r="E112" t="s">
        <v>46</v>
      </c>
      <c r="F112">
        <v>108</v>
      </c>
      <c r="G112">
        <v>111</v>
      </c>
      <c r="H112" s="7">
        <f t="shared" si="7"/>
        <v>7.1891191709844565E-2</v>
      </c>
    </row>
    <row r="113" spans="1:8">
      <c r="A113">
        <v>2</v>
      </c>
      <c r="B113" t="s">
        <v>9</v>
      </c>
      <c r="C113" t="s">
        <v>59</v>
      </c>
      <c r="D113" t="s">
        <v>26</v>
      </c>
      <c r="E113" t="s">
        <v>54</v>
      </c>
      <c r="F113">
        <v>72</v>
      </c>
      <c r="G113">
        <v>69</v>
      </c>
      <c r="H113" s="7">
        <f t="shared" si="7"/>
        <v>4.4689119170984455E-2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E39AD-C5A4-FE4E-81C0-98E68BD5BD86}">
  <dimension ref="A1:J401"/>
  <sheetViews>
    <sheetView workbookViewId="0">
      <selection activeCell="I18" sqref="I18"/>
    </sheetView>
  </sheetViews>
  <sheetFormatPr baseColWidth="10" defaultRowHeight="15"/>
  <cols>
    <col min="3" max="3" width="8.6640625" customWidth="1"/>
    <col min="9" max="9" width="18.83203125" style="3" customWidth="1"/>
  </cols>
  <sheetData>
    <row r="1" spans="1:10" s="1" customFormat="1">
      <c r="A1" s="1" t="s">
        <v>0</v>
      </c>
      <c r="B1" s="1" t="s">
        <v>1</v>
      </c>
      <c r="C1" s="1" t="s">
        <v>161</v>
      </c>
      <c r="D1" s="1" t="s">
        <v>29</v>
      </c>
      <c r="E1" s="1" t="s">
        <v>11</v>
      </c>
      <c r="F1" s="1" t="s">
        <v>60</v>
      </c>
      <c r="G1" s="1" t="s">
        <v>63</v>
      </c>
      <c r="H1" s="1" t="s">
        <v>64</v>
      </c>
      <c r="I1" s="2" t="s">
        <v>142</v>
      </c>
      <c r="J1" s="1" t="s">
        <v>66</v>
      </c>
    </row>
    <row r="2" spans="1:10">
      <c r="A2">
        <v>1</v>
      </c>
      <c r="B2" t="s">
        <v>6</v>
      </c>
      <c r="C2" t="str">
        <f>"Y"&amp;A2&amp;B2</f>
        <v>Y1Q1</v>
      </c>
      <c r="D2" t="s">
        <v>32</v>
      </c>
      <c r="E2" t="s">
        <v>14</v>
      </c>
      <c r="F2" t="s">
        <v>33</v>
      </c>
      <c r="G2" t="s">
        <v>67</v>
      </c>
      <c r="H2" t="s">
        <v>68</v>
      </c>
      <c r="I2" s="3">
        <v>0.42880000000000001</v>
      </c>
      <c r="J2">
        <v>67</v>
      </c>
    </row>
    <row r="3" spans="1:10">
      <c r="A3">
        <v>1</v>
      </c>
      <c r="B3" t="s">
        <v>6</v>
      </c>
      <c r="C3" t="str">
        <f t="shared" ref="C3:C66" si="0">"Y"&amp;A3&amp;B3</f>
        <v>Y1Q1</v>
      </c>
      <c r="D3" t="s">
        <v>32</v>
      </c>
      <c r="E3" t="s">
        <v>14</v>
      </c>
      <c r="F3" t="s">
        <v>33</v>
      </c>
      <c r="G3" t="s">
        <v>69</v>
      </c>
      <c r="H3" t="s">
        <v>70</v>
      </c>
      <c r="I3" s="3">
        <v>0.26640000000000003</v>
      </c>
      <c r="J3">
        <v>42</v>
      </c>
    </row>
    <row r="4" spans="1:10">
      <c r="A4">
        <v>1</v>
      </c>
      <c r="B4" t="s">
        <v>6</v>
      </c>
      <c r="C4" t="str">
        <f t="shared" si="0"/>
        <v>Y1Q1</v>
      </c>
      <c r="D4" t="s">
        <v>32</v>
      </c>
      <c r="E4" t="s">
        <v>14</v>
      </c>
      <c r="F4" t="s">
        <v>33</v>
      </c>
      <c r="G4" t="s">
        <v>71</v>
      </c>
      <c r="H4" t="s">
        <v>72</v>
      </c>
      <c r="I4" s="3">
        <v>0.17549999999999999</v>
      </c>
      <c r="J4">
        <v>27</v>
      </c>
    </row>
    <row r="5" spans="1:10">
      <c r="A5">
        <v>1</v>
      </c>
      <c r="B5" t="s">
        <v>6</v>
      </c>
      <c r="C5" t="str">
        <f t="shared" si="0"/>
        <v>Y1Q1</v>
      </c>
      <c r="D5" t="s">
        <v>32</v>
      </c>
      <c r="E5" t="s">
        <v>14</v>
      </c>
      <c r="F5" t="s">
        <v>33</v>
      </c>
      <c r="G5" t="s">
        <v>73</v>
      </c>
      <c r="H5" t="s">
        <v>74</v>
      </c>
      <c r="I5" s="3">
        <v>0.1293</v>
      </c>
      <c r="J5">
        <v>20</v>
      </c>
    </row>
    <row r="6" spans="1:10">
      <c r="A6">
        <v>1</v>
      </c>
      <c r="B6" t="s">
        <v>6</v>
      </c>
      <c r="C6" t="str">
        <f t="shared" si="0"/>
        <v>Y1Q1</v>
      </c>
      <c r="D6" t="s">
        <v>35</v>
      </c>
      <c r="E6" t="s">
        <v>14</v>
      </c>
      <c r="F6" t="s">
        <v>36</v>
      </c>
      <c r="G6" t="s">
        <v>69</v>
      </c>
      <c r="H6" t="s">
        <v>75</v>
      </c>
      <c r="I6" s="3">
        <v>0.56159999999999999</v>
      </c>
      <c r="J6">
        <v>49</v>
      </c>
    </row>
    <row r="7" spans="1:10">
      <c r="A7">
        <v>1</v>
      </c>
      <c r="B7" t="s">
        <v>6</v>
      </c>
      <c r="C7" t="str">
        <f t="shared" si="0"/>
        <v>Y1Q1</v>
      </c>
      <c r="D7" t="s">
        <v>35</v>
      </c>
      <c r="E7" t="s">
        <v>14</v>
      </c>
      <c r="F7" t="s">
        <v>36</v>
      </c>
      <c r="G7" t="s">
        <v>67</v>
      </c>
      <c r="H7" t="s">
        <v>76</v>
      </c>
      <c r="I7" s="3">
        <v>0.3407</v>
      </c>
      <c r="J7">
        <v>30</v>
      </c>
    </row>
    <row r="8" spans="1:10">
      <c r="A8">
        <v>1</v>
      </c>
      <c r="B8" t="s">
        <v>6</v>
      </c>
      <c r="C8" t="str">
        <f t="shared" si="0"/>
        <v>Y1Q1</v>
      </c>
      <c r="D8" t="s">
        <v>35</v>
      </c>
      <c r="E8" t="s">
        <v>14</v>
      </c>
      <c r="F8" t="s">
        <v>36</v>
      </c>
      <c r="G8" t="s">
        <v>73</v>
      </c>
      <c r="H8" t="s">
        <v>77</v>
      </c>
      <c r="I8" s="3">
        <v>9.7699999999999995E-2</v>
      </c>
      <c r="J8">
        <v>8</v>
      </c>
    </row>
    <row r="9" spans="1:10">
      <c r="A9">
        <v>1</v>
      </c>
      <c r="B9" t="s">
        <v>6</v>
      </c>
      <c r="C9" t="str">
        <f t="shared" si="0"/>
        <v>Y1Q1</v>
      </c>
      <c r="D9" t="s">
        <v>38</v>
      </c>
      <c r="E9" t="s">
        <v>17</v>
      </c>
      <c r="F9" t="s">
        <v>39</v>
      </c>
      <c r="G9" t="s">
        <v>71</v>
      </c>
      <c r="H9" t="s">
        <v>78</v>
      </c>
      <c r="I9" s="3">
        <v>0.36170000000000002</v>
      </c>
      <c r="J9">
        <v>84</v>
      </c>
    </row>
    <row r="10" spans="1:10">
      <c r="A10">
        <v>1</v>
      </c>
      <c r="B10" t="s">
        <v>6</v>
      </c>
      <c r="C10" t="str">
        <f t="shared" si="0"/>
        <v>Y1Q1</v>
      </c>
      <c r="D10" t="s">
        <v>38</v>
      </c>
      <c r="E10" t="s">
        <v>17</v>
      </c>
      <c r="F10" t="s">
        <v>39</v>
      </c>
      <c r="G10" t="s">
        <v>79</v>
      </c>
      <c r="H10" t="s">
        <v>80</v>
      </c>
      <c r="I10" s="3">
        <v>0.25729999999999997</v>
      </c>
      <c r="J10">
        <v>60</v>
      </c>
    </row>
    <row r="11" spans="1:10">
      <c r="A11">
        <v>1</v>
      </c>
      <c r="B11" t="s">
        <v>6</v>
      </c>
      <c r="C11" t="str">
        <f t="shared" si="0"/>
        <v>Y1Q1</v>
      </c>
      <c r="D11" t="s">
        <v>38</v>
      </c>
      <c r="E11" t="s">
        <v>17</v>
      </c>
      <c r="F11" t="s">
        <v>39</v>
      </c>
      <c r="G11" t="s">
        <v>67</v>
      </c>
      <c r="H11" t="s">
        <v>81</v>
      </c>
      <c r="I11" s="3">
        <v>0.1739</v>
      </c>
      <c r="J11">
        <v>40</v>
      </c>
    </row>
    <row r="12" spans="1:10">
      <c r="A12">
        <v>1</v>
      </c>
      <c r="B12" t="s">
        <v>6</v>
      </c>
      <c r="C12" t="str">
        <f t="shared" si="0"/>
        <v>Y1Q1</v>
      </c>
      <c r="D12" t="s">
        <v>38</v>
      </c>
      <c r="E12" t="s">
        <v>17</v>
      </c>
      <c r="F12" t="s">
        <v>39</v>
      </c>
      <c r="G12" t="s">
        <v>69</v>
      </c>
      <c r="H12" t="s">
        <v>82</v>
      </c>
      <c r="I12" s="3">
        <v>0.13650000000000001</v>
      </c>
      <c r="J12">
        <v>32</v>
      </c>
    </row>
    <row r="13" spans="1:10">
      <c r="A13">
        <v>1</v>
      </c>
      <c r="B13" t="s">
        <v>6</v>
      </c>
      <c r="C13" t="str">
        <f t="shared" si="0"/>
        <v>Y1Q1</v>
      </c>
      <c r="D13" t="s">
        <v>38</v>
      </c>
      <c r="E13" t="s">
        <v>17</v>
      </c>
      <c r="F13" t="s">
        <v>39</v>
      </c>
      <c r="G13" t="s">
        <v>73</v>
      </c>
      <c r="H13" t="s">
        <v>83</v>
      </c>
      <c r="I13" s="3">
        <v>7.0499999999999993E-2</v>
      </c>
      <c r="J13">
        <v>16</v>
      </c>
    </row>
    <row r="14" spans="1:10">
      <c r="A14">
        <v>1</v>
      </c>
      <c r="B14" t="s">
        <v>6</v>
      </c>
      <c r="C14" t="str">
        <f t="shared" si="0"/>
        <v>Y1Q1</v>
      </c>
      <c r="D14" t="s">
        <v>41</v>
      </c>
      <c r="E14" t="s">
        <v>17</v>
      </c>
      <c r="F14" t="s">
        <v>33</v>
      </c>
      <c r="G14" t="s">
        <v>67</v>
      </c>
      <c r="H14" t="s">
        <v>68</v>
      </c>
      <c r="I14" s="3">
        <v>0.33750000000000002</v>
      </c>
      <c r="J14">
        <v>37</v>
      </c>
    </row>
    <row r="15" spans="1:10">
      <c r="A15">
        <v>1</v>
      </c>
      <c r="B15" t="s">
        <v>6</v>
      </c>
      <c r="C15" t="str">
        <f t="shared" si="0"/>
        <v>Y1Q1</v>
      </c>
      <c r="D15" t="s">
        <v>41</v>
      </c>
      <c r="E15" t="s">
        <v>17</v>
      </c>
      <c r="F15" t="s">
        <v>33</v>
      </c>
      <c r="G15" t="s">
        <v>69</v>
      </c>
      <c r="H15" t="s">
        <v>70</v>
      </c>
      <c r="I15" s="3">
        <v>0.26629999999999998</v>
      </c>
      <c r="J15">
        <v>30</v>
      </c>
    </row>
    <row r="16" spans="1:10">
      <c r="A16">
        <v>1</v>
      </c>
      <c r="B16" t="s">
        <v>6</v>
      </c>
      <c r="C16" t="str">
        <f t="shared" si="0"/>
        <v>Y1Q1</v>
      </c>
      <c r="D16" t="s">
        <v>41</v>
      </c>
      <c r="E16" t="s">
        <v>17</v>
      </c>
      <c r="F16" t="s">
        <v>33</v>
      </c>
      <c r="G16" t="s">
        <v>71</v>
      </c>
      <c r="H16" t="s">
        <v>72</v>
      </c>
      <c r="I16" s="3">
        <v>0.2223</v>
      </c>
      <c r="J16">
        <v>25</v>
      </c>
    </row>
    <row r="17" spans="1:10">
      <c r="A17">
        <v>1</v>
      </c>
      <c r="B17" t="s">
        <v>6</v>
      </c>
      <c r="C17" t="str">
        <f t="shared" si="0"/>
        <v>Y1Q1</v>
      </c>
      <c r="D17" t="s">
        <v>41</v>
      </c>
      <c r="E17" t="s">
        <v>17</v>
      </c>
      <c r="F17" t="s">
        <v>33</v>
      </c>
      <c r="G17" t="s">
        <v>73</v>
      </c>
      <c r="H17" t="s">
        <v>74</v>
      </c>
      <c r="I17" s="3">
        <v>0.1739</v>
      </c>
      <c r="J17">
        <v>19</v>
      </c>
    </row>
    <row r="18" spans="1:10">
      <c r="A18">
        <v>1</v>
      </c>
      <c r="B18" t="s">
        <v>6</v>
      </c>
      <c r="C18" t="str">
        <f t="shared" si="0"/>
        <v>Y1Q1</v>
      </c>
      <c r="D18" t="s">
        <v>42</v>
      </c>
      <c r="E18" t="s">
        <v>17</v>
      </c>
      <c r="F18" t="s">
        <v>43</v>
      </c>
      <c r="G18" t="s">
        <v>79</v>
      </c>
      <c r="H18" t="s">
        <v>84</v>
      </c>
      <c r="I18" s="3">
        <v>0.62690000000000001</v>
      </c>
      <c r="J18">
        <v>73</v>
      </c>
    </row>
    <row r="19" spans="1:10">
      <c r="A19">
        <v>1</v>
      </c>
      <c r="B19" t="s">
        <v>6</v>
      </c>
      <c r="C19" t="str">
        <f t="shared" si="0"/>
        <v>Y1Q1</v>
      </c>
      <c r="D19" t="s">
        <v>42</v>
      </c>
      <c r="E19" t="s">
        <v>17</v>
      </c>
      <c r="F19" t="s">
        <v>43</v>
      </c>
      <c r="G19" t="s">
        <v>69</v>
      </c>
      <c r="H19" t="s">
        <v>85</v>
      </c>
      <c r="I19" s="3">
        <v>0.24940000000000001</v>
      </c>
      <c r="J19">
        <v>29</v>
      </c>
    </row>
    <row r="20" spans="1:10">
      <c r="A20">
        <v>1</v>
      </c>
      <c r="B20" t="s">
        <v>6</v>
      </c>
      <c r="C20" t="str">
        <f t="shared" si="0"/>
        <v>Y1Q1</v>
      </c>
      <c r="D20" t="s">
        <v>42</v>
      </c>
      <c r="E20" t="s">
        <v>17</v>
      </c>
      <c r="F20" t="s">
        <v>43</v>
      </c>
      <c r="G20" t="s">
        <v>71</v>
      </c>
      <c r="H20" t="s">
        <v>86</v>
      </c>
      <c r="I20" s="3">
        <v>0.1237</v>
      </c>
      <c r="J20">
        <v>14</v>
      </c>
    </row>
    <row r="21" spans="1:10">
      <c r="A21">
        <v>1</v>
      </c>
      <c r="B21" t="s">
        <v>6</v>
      </c>
      <c r="C21" t="str">
        <f t="shared" si="0"/>
        <v>Y1Q1</v>
      </c>
      <c r="D21" t="s">
        <v>45</v>
      </c>
      <c r="E21" t="s">
        <v>20</v>
      </c>
      <c r="F21" t="s">
        <v>46</v>
      </c>
      <c r="G21" t="s">
        <v>69</v>
      </c>
      <c r="H21" t="s">
        <v>87</v>
      </c>
      <c r="I21" s="3">
        <v>0.35670000000000002</v>
      </c>
      <c r="J21">
        <v>42</v>
      </c>
    </row>
    <row r="22" spans="1:10">
      <c r="A22">
        <v>1</v>
      </c>
      <c r="B22" t="s">
        <v>6</v>
      </c>
      <c r="C22" t="str">
        <f t="shared" si="0"/>
        <v>Y1Q1</v>
      </c>
      <c r="D22" t="s">
        <v>45</v>
      </c>
      <c r="E22" t="s">
        <v>20</v>
      </c>
      <c r="F22" t="s">
        <v>46</v>
      </c>
      <c r="G22" t="s">
        <v>79</v>
      </c>
      <c r="H22" t="s">
        <v>88</v>
      </c>
      <c r="I22" s="3">
        <v>0.28739999999999999</v>
      </c>
      <c r="J22">
        <v>34</v>
      </c>
    </row>
    <row r="23" spans="1:10">
      <c r="A23">
        <v>1</v>
      </c>
      <c r="B23" t="s">
        <v>6</v>
      </c>
      <c r="C23" t="str">
        <f t="shared" si="0"/>
        <v>Y1Q1</v>
      </c>
      <c r="D23" t="s">
        <v>45</v>
      </c>
      <c r="E23" t="s">
        <v>20</v>
      </c>
      <c r="F23" t="s">
        <v>46</v>
      </c>
      <c r="G23" t="s">
        <v>67</v>
      </c>
      <c r="H23" t="s">
        <v>89</v>
      </c>
      <c r="I23" s="3">
        <v>0.22639999999999999</v>
      </c>
      <c r="J23">
        <v>27</v>
      </c>
    </row>
    <row r="24" spans="1:10">
      <c r="A24">
        <v>1</v>
      </c>
      <c r="B24" t="s">
        <v>6</v>
      </c>
      <c r="C24" t="str">
        <f t="shared" si="0"/>
        <v>Y1Q1</v>
      </c>
      <c r="D24" t="s">
        <v>45</v>
      </c>
      <c r="E24" t="s">
        <v>20</v>
      </c>
      <c r="F24" t="s">
        <v>46</v>
      </c>
      <c r="G24" t="s">
        <v>71</v>
      </c>
      <c r="H24" t="s">
        <v>90</v>
      </c>
      <c r="I24" s="3">
        <v>0.12939999999999999</v>
      </c>
      <c r="J24">
        <v>15</v>
      </c>
    </row>
    <row r="25" spans="1:10">
      <c r="A25">
        <v>1</v>
      </c>
      <c r="B25" t="s">
        <v>6</v>
      </c>
      <c r="C25" t="str">
        <f t="shared" si="0"/>
        <v>Y1Q1</v>
      </c>
      <c r="D25" t="s">
        <v>48</v>
      </c>
      <c r="E25" t="s">
        <v>20</v>
      </c>
      <c r="F25" t="s">
        <v>36</v>
      </c>
      <c r="G25" t="s">
        <v>69</v>
      </c>
      <c r="H25" t="s">
        <v>75</v>
      </c>
      <c r="I25" s="3">
        <v>0.60660000000000003</v>
      </c>
      <c r="J25">
        <v>53</v>
      </c>
    </row>
    <row r="26" spans="1:10">
      <c r="A26">
        <v>1</v>
      </c>
      <c r="B26" t="s">
        <v>6</v>
      </c>
      <c r="C26" t="str">
        <f t="shared" si="0"/>
        <v>Y1Q1</v>
      </c>
      <c r="D26" t="s">
        <v>48</v>
      </c>
      <c r="E26" t="s">
        <v>20</v>
      </c>
      <c r="F26" t="s">
        <v>36</v>
      </c>
      <c r="G26" t="s">
        <v>67</v>
      </c>
      <c r="H26" t="s">
        <v>76</v>
      </c>
      <c r="I26" s="3">
        <v>0.29320000000000002</v>
      </c>
      <c r="J26">
        <v>26</v>
      </c>
    </row>
    <row r="27" spans="1:10">
      <c r="A27">
        <v>1</v>
      </c>
      <c r="B27" t="s">
        <v>6</v>
      </c>
      <c r="C27" t="str">
        <f t="shared" si="0"/>
        <v>Y1Q1</v>
      </c>
      <c r="D27" t="s">
        <v>48</v>
      </c>
      <c r="E27" t="s">
        <v>20</v>
      </c>
      <c r="F27" t="s">
        <v>36</v>
      </c>
      <c r="G27" t="s">
        <v>73</v>
      </c>
      <c r="H27" t="s">
        <v>77</v>
      </c>
      <c r="I27" s="3">
        <v>0.1002</v>
      </c>
      <c r="J27">
        <v>9</v>
      </c>
    </row>
    <row r="28" spans="1:10">
      <c r="A28">
        <v>1</v>
      </c>
      <c r="B28" t="s">
        <v>6</v>
      </c>
      <c r="C28" t="str">
        <f t="shared" si="0"/>
        <v>Y1Q1</v>
      </c>
      <c r="D28" t="s">
        <v>49</v>
      </c>
      <c r="E28" t="s">
        <v>20</v>
      </c>
      <c r="F28" t="s">
        <v>50</v>
      </c>
      <c r="G28" t="s">
        <v>79</v>
      </c>
      <c r="H28" t="s">
        <v>91</v>
      </c>
      <c r="I28" s="3">
        <v>0.58040000000000003</v>
      </c>
      <c r="J28">
        <v>41</v>
      </c>
    </row>
    <row r="29" spans="1:10">
      <c r="A29">
        <v>1</v>
      </c>
      <c r="B29" t="s">
        <v>6</v>
      </c>
      <c r="C29" t="str">
        <f t="shared" si="0"/>
        <v>Y1Q1</v>
      </c>
      <c r="D29" t="s">
        <v>49</v>
      </c>
      <c r="E29" t="s">
        <v>20</v>
      </c>
      <c r="F29" t="s">
        <v>50</v>
      </c>
      <c r="G29" t="s">
        <v>73</v>
      </c>
      <c r="H29" t="s">
        <v>92</v>
      </c>
      <c r="I29" s="3">
        <v>0.28599999999999998</v>
      </c>
      <c r="J29">
        <v>20</v>
      </c>
    </row>
    <row r="30" spans="1:10">
      <c r="A30">
        <v>1</v>
      </c>
      <c r="B30" t="s">
        <v>6</v>
      </c>
      <c r="C30" t="str">
        <f t="shared" si="0"/>
        <v>Y1Q1</v>
      </c>
      <c r="D30" t="s">
        <v>49</v>
      </c>
      <c r="E30" t="s">
        <v>20</v>
      </c>
      <c r="F30" t="s">
        <v>50</v>
      </c>
      <c r="G30" t="s">
        <v>71</v>
      </c>
      <c r="H30" t="s">
        <v>93</v>
      </c>
      <c r="I30" s="3">
        <v>0.1336</v>
      </c>
      <c r="J30">
        <v>10</v>
      </c>
    </row>
    <row r="31" spans="1:10">
      <c r="A31">
        <v>1</v>
      </c>
      <c r="B31" t="s">
        <v>6</v>
      </c>
      <c r="C31" t="str">
        <f t="shared" si="0"/>
        <v>Y1Q1</v>
      </c>
      <c r="D31" t="s">
        <v>52</v>
      </c>
      <c r="E31" t="s">
        <v>23</v>
      </c>
      <c r="F31" t="s">
        <v>39</v>
      </c>
      <c r="G31" t="s">
        <v>71</v>
      </c>
      <c r="H31" t="s">
        <v>78</v>
      </c>
      <c r="I31" s="3">
        <v>0.32750000000000001</v>
      </c>
      <c r="J31">
        <v>21</v>
      </c>
    </row>
    <row r="32" spans="1:10">
      <c r="A32">
        <v>1</v>
      </c>
      <c r="B32" t="s">
        <v>6</v>
      </c>
      <c r="C32" t="str">
        <f t="shared" si="0"/>
        <v>Y1Q1</v>
      </c>
      <c r="D32" t="s">
        <v>52</v>
      </c>
      <c r="E32" t="s">
        <v>23</v>
      </c>
      <c r="F32" t="s">
        <v>39</v>
      </c>
      <c r="G32" t="s">
        <v>79</v>
      </c>
      <c r="H32" t="s">
        <v>80</v>
      </c>
      <c r="I32" s="3">
        <v>0.23</v>
      </c>
      <c r="J32">
        <v>14</v>
      </c>
    </row>
    <row r="33" spans="1:10">
      <c r="A33">
        <v>1</v>
      </c>
      <c r="B33" t="s">
        <v>6</v>
      </c>
      <c r="C33" t="str">
        <f t="shared" si="0"/>
        <v>Y1Q1</v>
      </c>
      <c r="D33" t="s">
        <v>52</v>
      </c>
      <c r="E33" t="s">
        <v>23</v>
      </c>
      <c r="F33" t="s">
        <v>39</v>
      </c>
      <c r="G33" t="s">
        <v>73</v>
      </c>
      <c r="H33" t="s">
        <v>83</v>
      </c>
      <c r="I33" s="3">
        <v>0.21940000000000001</v>
      </c>
      <c r="J33">
        <v>14</v>
      </c>
    </row>
    <row r="34" spans="1:10">
      <c r="A34">
        <v>1</v>
      </c>
      <c r="B34" t="s">
        <v>6</v>
      </c>
      <c r="C34" t="str">
        <f t="shared" si="0"/>
        <v>Y1Q1</v>
      </c>
      <c r="D34" t="s">
        <v>52</v>
      </c>
      <c r="E34" t="s">
        <v>23</v>
      </c>
      <c r="F34" t="s">
        <v>39</v>
      </c>
      <c r="G34" t="s">
        <v>67</v>
      </c>
      <c r="H34" t="s">
        <v>81</v>
      </c>
      <c r="I34" s="3">
        <v>0.12770000000000001</v>
      </c>
      <c r="J34">
        <v>8</v>
      </c>
    </row>
    <row r="35" spans="1:10">
      <c r="A35">
        <v>1</v>
      </c>
      <c r="B35" t="s">
        <v>6</v>
      </c>
      <c r="C35" t="str">
        <f t="shared" si="0"/>
        <v>Y1Q1</v>
      </c>
      <c r="D35" t="s">
        <v>52</v>
      </c>
      <c r="E35" t="s">
        <v>23</v>
      </c>
      <c r="F35" t="s">
        <v>39</v>
      </c>
      <c r="G35" t="s">
        <v>69</v>
      </c>
      <c r="H35" t="s">
        <v>82</v>
      </c>
      <c r="I35" s="3">
        <v>9.5399999999999999E-2</v>
      </c>
      <c r="J35">
        <v>6</v>
      </c>
    </row>
    <row r="36" spans="1:10">
      <c r="A36">
        <v>1</v>
      </c>
      <c r="B36" t="s">
        <v>6</v>
      </c>
      <c r="C36" t="str">
        <f t="shared" si="0"/>
        <v>Y1Q1</v>
      </c>
      <c r="D36" t="s">
        <v>53</v>
      </c>
      <c r="E36" t="s">
        <v>23</v>
      </c>
      <c r="F36" t="s">
        <v>54</v>
      </c>
      <c r="G36" t="s">
        <v>73</v>
      </c>
      <c r="H36" t="s">
        <v>94</v>
      </c>
      <c r="I36" s="3">
        <v>0.49340000000000001</v>
      </c>
      <c r="J36">
        <v>36</v>
      </c>
    </row>
    <row r="37" spans="1:10">
      <c r="A37">
        <v>1</v>
      </c>
      <c r="B37" t="s">
        <v>6</v>
      </c>
      <c r="C37" t="str">
        <f t="shared" si="0"/>
        <v>Y1Q1</v>
      </c>
      <c r="D37" t="s">
        <v>53</v>
      </c>
      <c r="E37" t="s">
        <v>23</v>
      </c>
      <c r="F37" t="s">
        <v>54</v>
      </c>
      <c r="G37" t="s">
        <v>79</v>
      </c>
      <c r="H37" t="s">
        <v>95</v>
      </c>
      <c r="I37" s="3">
        <v>0.31790000000000002</v>
      </c>
      <c r="J37">
        <v>23</v>
      </c>
    </row>
    <row r="38" spans="1:10">
      <c r="A38">
        <v>1</v>
      </c>
      <c r="B38" t="s">
        <v>6</v>
      </c>
      <c r="C38" t="str">
        <f t="shared" si="0"/>
        <v>Y1Q1</v>
      </c>
      <c r="D38" t="s">
        <v>53</v>
      </c>
      <c r="E38" t="s">
        <v>23</v>
      </c>
      <c r="F38" t="s">
        <v>54</v>
      </c>
      <c r="G38" t="s">
        <v>67</v>
      </c>
      <c r="H38" t="s">
        <v>96</v>
      </c>
      <c r="I38" s="3">
        <v>0.18870000000000001</v>
      </c>
      <c r="J38">
        <v>14</v>
      </c>
    </row>
    <row r="39" spans="1:10">
      <c r="A39">
        <v>1</v>
      </c>
      <c r="B39" t="s">
        <v>6</v>
      </c>
      <c r="C39" t="str">
        <f t="shared" si="0"/>
        <v>Y1Q1</v>
      </c>
      <c r="D39" t="s">
        <v>56</v>
      </c>
      <c r="E39" t="s">
        <v>23</v>
      </c>
      <c r="F39" t="s">
        <v>50</v>
      </c>
      <c r="G39" t="s">
        <v>79</v>
      </c>
      <c r="H39" t="s">
        <v>91</v>
      </c>
      <c r="I39" s="3">
        <v>0.49469999999999997</v>
      </c>
      <c r="J39">
        <v>27</v>
      </c>
    </row>
    <row r="40" spans="1:10">
      <c r="A40">
        <v>1</v>
      </c>
      <c r="B40" t="s">
        <v>6</v>
      </c>
      <c r="C40" t="str">
        <f t="shared" si="0"/>
        <v>Y1Q1</v>
      </c>
      <c r="D40" t="s">
        <v>56</v>
      </c>
      <c r="E40" t="s">
        <v>23</v>
      </c>
      <c r="F40" t="s">
        <v>50</v>
      </c>
      <c r="G40" t="s">
        <v>73</v>
      </c>
      <c r="H40" t="s">
        <v>92</v>
      </c>
      <c r="I40" s="3">
        <v>0.37469999999999998</v>
      </c>
      <c r="J40">
        <v>20</v>
      </c>
    </row>
    <row r="41" spans="1:10">
      <c r="A41">
        <v>1</v>
      </c>
      <c r="B41" t="s">
        <v>6</v>
      </c>
      <c r="C41" t="str">
        <f t="shared" si="0"/>
        <v>Y1Q1</v>
      </c>
      <c r="D41" t="s">
        <v>56</v>
      </c>
      <c r="E41" t="s">
        <v>23</v>
      </c>
      <c r="F41" t="s">
        <v>50</v>
      </c>
      <c r="G41" t="s">
        <v>71</v>
      </c>
      <c r="H41" t="s">
        <v>93</v>
      </c>
      <c r="I41" s="3">
        <v>0.13059999999999999</v>
      </c>
      <c r="J41">
        <v>7</v>
      </c>
    </row>
    <row r="42" spans="1:10">
      <c r="A42">
        <v>1</v>
      </c>
      <c r="B42" t="s">
        <v>6</v>
      </c>
      <c r="C42" t="str">
        <f t="shared" si="0"/>
        <v>Y1Q1</v>
      </c>
      <c r="D42" t="s">
        <v>57</v>
      </c>
      <c r="E42" t="s">
        <v>23</v>
      </c>
      <c r="F42" t="s">
        <v>43</v>
      </c>
      <c r="G42" t="s">
        <v>79</v>
      </c>
      <c r="H42" t="s">
        <v>84</v>
      </c>
      <c r="I42" s="3">
        <v>0.69299999999999995</v>
      </c>
      <c r="J42">
        <v>29</v>
      </c>
    </row>
    <row r="43" spans="1:10">
      <c r="A43">
        <v>1</v>
      </c>
      <c r="B43" t="s">
        <v>6</v>
      </c>
      <c r="C43" t="str">
        <f t="shared" si="0"/>
        <v>Y1Q1</v>
      </c>
      <c r="D43" t="s">
        <v>57</v>
      </c>
      <c r="E43" t="s">
        <v>23</v>
      </c>
      <c r="F43" t="s">
        <v>43</v>
      </c>
      <c r="G43" t="s">
        <v>69</v>
      </c>
      <c r="H43" t="s">
        <v>85</v>
      </c>
      <c r="I43" s="3">
        <v>0.19420000000000001</v>
      </c>
      <c r="J43">
        <v>8</v>
      </c>
    </row>
    <row r="44" spans="1:10">
      <c r="A44">
        <v>1</v>
      </c>
      <c r="B44" t="s">
        <v>6</v>
      </c>
      <c r="C44" t="str">
        <f t="shared" si="0"/>
        <v>Y1Q1</v>
      </c>
      <c r="D44" t="s">
        <v>57</v>
      </c>
      <c r="E44" t="s">
        <v>23</v>
      </c>
      <c r="F44" t="s">
        <v>43</v>
      </c>
      <c r="G44" t="s">
        <v>71</v>
      </c>
      <c r="H44" t="s">
        <v>86</v>
      </c>
      <c r="I44" s="3">
        <v>0.1128</v>
      </c>
      <c r="J44">
        <v>5</v>
      </c>
    </row>
    <row r="45" spans="1:10">
      <c r="A45">
        <v>1</v>
      </c>
      <c r="B45" t="s">
        <v>6</v>
      </c>
      <c r="C45" t="str">
        <f t="shared" si="0"/>
        <v>Y1Q1</v>
      </c>
      <c r="D45" t="s">
        <v>58</v>
      </c>
      <c r="E45" t="s">
        <v>26</v>
      </c>
      <c r="F45" t="s">
        <v>46</v>
      </c>
      <c r="G45" t="s">
        <v>69</v>
      </c>
      <c r="H45" t="s">
        <v>87</v>
      </c>
      <c r="I45" s="3">
        <v>0.42799999999999999</v>
      </c>
      <c r="J45">
        <v>39</v>
      </c>
    </row>
    <row r="46" spans="1:10">
      <c r="A46">
        <v>1</v>
      </c>
      <c r="B46" t="s">
        <v>6</v>
      </c>
      <c r="C46" t="str">
        <f t="shared" si="0"/>
        <v>Y1Q1</v>
      </c>
      <c r="D46" t="s">
        <v>58</v>
      </c>
      <c r="E46" t="s">
        <v>26</v>
      </c>
      <c r="F46" t="s">
        <v>46</v>
      </c>
      <c r="G46" t="s">
        <v>67</v>
      </c>
      <c r="H46" t="s">
        <v>89</v>
      </c>
      <c r="I46" s="3">
        <v>0.28920000000000001</v>
      </c>
      <c r="J46">
        <v>27</v>
      </c>
    </row>
    <row r="47" spans="1:10">
      <c r="A47">
        <v>1</v>
      </c>
      <c r="B47" t="s">
        <v>6</v>
      </c>
      <c r="C47" t="str">
        <f t="shared" si="0"/>
        <v>Y1Q1</v>
      </c>
      <c r="D47" t="s">
        <v>58</v>
      </c>
      <c r="E47" t="s">
        <v>26</v>
      </c>
      <c r="F47" t="s">
        <v>46</v>
      </c>
      <c r="G47" t="s">
        <v>79</v>
      </c>
      <c r="H47" t="s">
        <v>88</v>
      </c>
      <c r="I47" s="3">
        <v>0.19009999999999999</v>
      </c>
      <c r="J47">
        <v>17</v>
      </c>
    </row>
    <row r="48" spans="1:10">
      <c r="A48">
        <v>1</v>
      </c>
      <c r="B48" t="s">
        <v>6</v>
      </c>
      <c r="C48" t="str">
        <f t="shared" si="0"/>
        <v>Y1Q1</v>
      </c>
      <c r="D48" t="s">
        <v>58</v>
      </c>
      <c r="E48" t="s">
        <v>26</v>
      </c>
      <c r="F48" t="s">
        <v>46</v>
      </c>
      <c r="G48" t="s">
        <v>71</v>
      </c>
      <c r="H48" t="s">
        <v>90</v>
      </c>
      <c r="I48" s="3">
        <v>9.2600000000000002E-2</v>
      </c>
      <c r="J48">
        <v>9</v>
      </c>
    </row>
    <row r="49" spans="1:10">
      <c r="A49">
        <v>1</v>
      </c>
      <c r="B49" t="s">
        <v>6</v>
      </c>
      <c r="C49" t="str">
        <f t="shared" si="0"/>
        <v>Y1Q1</v>
      </c>
      <c r="D49" t="s">
        <v>59</v>
      </c>
      <c r="E49" t="s">
        <v>26</v>
      </c>
      <c r="F49" t="s">
        <v>54</v>
      </c>
      <c r="G49" t="s">
        <v>73</v>
      </c>
      <c r="H49" t="s">
        <v>94</v>
      </c>
      <c r="I49" s="3">
        <v>0.43609999999999999</v>
      </c>
      <c r="J49">
        <v>28</v>
      </c>
    </row>
    <row r="50" spans="1:10">
      <c r="A50">
        <v>1</v>
      </c>
      <c r="B50" t="s">
        <v>6</v>
      </c>
      <c r="C50" t="str">
        <f t="shared" si="0"/>
        <v>Y1Q1</v>
      </c>
      <c r="D50" t="s">
        <v>59</v>
      </c>
      <c r="E50" t="s">
        <v>26</v>
      </c>
      <c r="F50" t="s">
        <v>54</v>
      </c>
      <c r="G50" t="s">
        <v>79</v>
      </c>
      <c r="H50" t="s">
        <v>95</v>
      </c>
      <c r="I50" s="3">
        <v>0.32569999999999999</v>
      </c>
      <c r="J50">
        <v>21</v>
      </c>
    </row>
    <row r="51" spans="1:10">
      <c r="A51">
        <v>1</v>
      </c>
      <c r="B51" t="s">
        <v>6</v>
      </c>
      <c r="C51" t="str">
        <f t="shared" si="0"/>
        <v>Y1Q1</v>
      </c>
      <c r="D51" t="s">
        <v>59</v>
      </c>
      <c r="E51" t="s">
        <v>26</v>
      </c>
      <c r="F51" t="s">
        <v>54</v>
      </c>
      <c r="G51" t="s">
        <v>67</v>
      </c>
      <c r="H51" t="s">
        <v>96</v>
      </c>
      <c r="I51" s="3">
        <v>0.2382</v>
      </c>
      <c r="J51">
        <v>16</v>
      </c>
    </row>
    <row r="52" spans="1:10">
      <c r="A52">
        <v>1</v>
      </c>
      <c r="B52" t="s">
        <v>7</v>
      </c>
      <c r="C52" t="str">
        <f t="shared" si="0"/>
        <v>Y1Q2</v>
      </c>
      <c r="D52" t="s">
        <v>32</v>
      </c>
      <c r="E52" t="s">
        <v>14</v>
      </c>
      <c r="F52" t="s">
        <v>33</v>
      </c>
      <c r="G52" t="s">
        <v>67</v>
      </c>
      <c r="H52" t="s">
        <v>68</v>
      </c>
      <c r="I52" s="3">
        <v>0.44390000000000002</v>
      </c>
      <c r="J52">
        <v>67</v>
      </c>
    </row>
    <row r="53" spans="1:10">
      <c r="A53">
        <v>1</v>
      </c>
      <c r="B53" t="s">
        <v>7</v>
      </c>
      <c r="C53" t="str">
        <f t="shared" si="0"/>
        <v>Y1Q2</v>
      </c>
      <c r="D53" t="s">
        <v>32</v>
      </c>
      <c r="E53" t="s">
        <v>14</v>
      </c>
      <c r="F53" t="s">
        <v>33</v>
      </c>
      <c r="G53" t="s">
        <v>69</v>
      </c>
      <c r="H53" t="s">
        <v>70</v>
      </c>
      <c r="I53" s="3">
        <v>0.24779999999999999</v>
      </c>
      <c r="J53">
        <v>38</v>
      </c>
    </row>
    <row r="54" spans="1:10">
      <c r="A54">
        <v>1</v>
      </c>
      <c r="B54" t="s">
        <v>7</v>
      </c>
      <c r="C54" t="str">
        <f t="shared" si="0"/>
        <v>Y1Q2</v>
      </c>
      <c r="D54" t="s">
        <v>32</v>
      </c>
      <c r="E54" t="s">
        <v>14</v>
      </c>
      <c r="F54" t="s">
        <v>33</v>
      </c>
      <c r="G54" t="s">
        <v>71</v>
      </c>
      <c r="H54" t="s">
        <v>72</v>
      </c>
      <c r="I54" s="3">
        <v>0.19900000000000001</v>
      </c>
      <c r="J54">
        <v>30</v>
      </c>
    </row>
    <row r="55" spans="1:10">
      <c r="A55">
        <v>1</v>
      </c>
      <c r="B55" t="s">
        <v>7</v>
      </c>
      <c r="C55" t="str">
        <f t="shared" si="0"/>
        <v>Y1Q2</v>
      </c>
      <c r="D55" t="s">
        <v>32</v>
      </c>
      <c r="E55" t="s">
        <v>14</v>
      </c>
      <c r="F55" t="s">
        <v>33</v>
      </c>
      <c r="G55" t="s">
        <v>73</v>
      </c>
      <c r="H55" t="s">
        <v>74</v>
      </c>
      <c r="I55" s="3">
        <v>0.10929999999999999</v>
      </c>
      <c r="J55">
        <v>17</v>
      </c>
    </row>
    <row r="56" spans="1:10">
      <c r="A56">
        <v>1</v>
      </c>
      <c r="B56" t="s">
        <v>7</v>
      </c>
      <c r="C56" t="str">
        <f t="shared" si="0"/>
        <v>Y1Q2</v>
      </c>
      <c r="D56" t="s">
        <v>35</v>
      </c>
      <c r="E56" t="s">
        <v>14</v>
      </c>
      <c r="F56" t="s">
        <v>36</v>
      </c>
      <c r="G56" t="s">
        <v>69</v>
      </c>
      <c r="H56" t="s">
        <v>75</v>
      </c>
      <c r="I56" s="3">
        <v>0.55779999999999996</v>
      </c>
      <c r="J56">
        <v>49</v>
      </c>
    </row>
    <row r="57" spans="1:10">
      <c r="A57">
        <v>1</v>
      </c>
      <c r="B57" t="s">
        <v>7</v>
      </c>
      <c r="C57" t="str">
        <f t="shared" si="0"/>
        <v>Y1Q2</v>
      </c>
      <c r="D57" t="s">
        <v>35</v>
      </c>
      <c r="E57" t="s">
        <v>14</v>
      </c>
      <c r="F57" t="s">
        <v>36</v>
      </c>
      <c r="G57" t="s">
        <v>67</v>
      </c>
      <c r="H57" t="s">
        <v>76</v>
      </c>
      <c r="I57" s="3">
        <v>0.35020000000000001</v>
      </c>
      <c r="J57">
        <v>30</v>
      </c>
    </row>
    <row r="58" spans="1:10">
      <c r="A58">
        <v>1</v>
      </c>
      <c r="B58" t="s">
        <v>7</v>
      </c>
      <c r="C58" t="str">
        <f t="shared" si="0"/>
        <v>Y1Q2</v>
      </c>
      <c r="D58" t="s">
        <v>35</v>
      </c>
      <c r="E58" t="s">
        <v>14</v>
      </c>
      <c r="F58" t="s">
        <v>36</v>
      </c>
      <c r="G58" t="s">
        <v>73</v>
      </c>
      <c r="H58" t="s">
        <v>77</v>
      </c>
      <c r="I58" s="3">
        <v>9.1999999999999998E-2</v>
      </c>
      <c r="J58">
        <v>8</v>
      </c>
    </row>
    <row r="59" spans="1:10">
      <c r="A59">
        <v>1</v>
      </c>
      <c r="B59" t="s">
        <v>7</v>
      </c>
      <c r="C59" t="str">
        <f t="shared" si="0"/>
        <v>Y1Q2</v>
      </c>
      <c r="D59" t="s">
        <v>38</v>
      </c>
      <c r="E59" t="s">
        <v>17</v>
      </c>
      <c r="F59" t="s">
        <v>39</v>
      </c>
      <c r="G59" t="s">
        <v>71</v>
      </c>
      <c r="H59" t="s">
        <v>78</v>
      </c>
      <c r="I59" s="3">
        <v>0.4</v>
      </c>
      <c r="J59">
        <v>96</v>
      </c>
    </row>
    <row r="60" spans="1:10">
      <c r="A60">
        <v>1</v>
      </c>
      <c r="B60" t="s">
        <v>7</v>
      </c>
      <c r="C60" t="str">
        <f t="shared" si="0"/>
        <v>Y1Q2</v>
      </c>
      <c r="D60" t="s">
        <v>38</v>
      </c>
      <c r="E60" t="s">
        <v>17</v>
      </c>
      <c r="F60" t="s">
        <v>39</v>
      </c>
      <c r="G60" t="s">
        <v>79</v>
      </c>
      <c r="H60" t="s">
        <v>80</v>
      </c>
      <c r="I60" s="3">
        <v>0.24629999999999999</v>
      </c>
      <c r="J60">
        <v>59</v>
      </c>
    </row>
    <row r="61" spans="1:10">
      <c r="A61">
        <v>1</v>
      </c>
      <c r="B61" t="s">
        <v>7</v>
      </c>
      <c r="C61" t="str">
        <f t="shared" si="0"/>
        <v>Y1Q2</v>
      </c>
      <c r="D61" t="s">
        <v>38</v>
      </c>
      <c r="E61" t="s">
        <v>17</v>
      </c>
      <c r="F61" t="s">
        <v>39</v>
      </c>
      <c r="G61" t="s">
        <v>67</v>
      </c>
      <c r="H61" t="s">
        <v>81</v>
      </c>
      <c r="I61" s="3">
        <v>0.16159999999999999</v>
      </c>
      <c r="J61">
        <v>39</v>
      </c>
    </row>
    <row r="62" spans="1:10">
      <c r="A62">
        <v>1</v>
      </c>
      <c r="B62" t="s">
        <v>7</v>
      </c>
      <c r="C62" t="str">
        <f t="shared" si="0"/>
        <v>Y1Q2</v>
      </c>
      <c r="D62" t="s">
        <v>38</v>
      </c>
      <c r="E62" t="s">
        <v>17</v>
      </c>
      <c r="F62" t="s">
        <v>39</v>
      </c>
      <c r="G62" t="s">
        <v>69</v>
      </c>
      <c r="H62" t="s">
        <v>82</v>
      </c>
      <c r="I62" s="3">
        <v>0.1386</v>
      </c>
      <c r="J62">
        <v>33</v>
      </c>
    </row>
    <row r="63" spans="1:10">
      <c r="A63">
        <v>1</v>
      </c>
      <c r="B63" t="s">
        <v>7</v>
      </c>
      <c r="C63" t="str">
        <f t="shared" si="0"/>
        <v>Y1Q2</v>
      </c>
      <c r="D63" t="s">
        <v>38</v>
      </c>
      <c r="E63" t="s">
        <v>17</v>
      </c>
      <c r="F63" t="s">
        <v>39</v>
      </c>
      <c r="G63" t="s">
        <v>73</v>
      </c>
      <c r="H63" t="s">
        <v>83</v>
      </c>
      <c r="I63" s="3">
        <v>5.3499999999999999E-2</v>
      </c>
      <c r="J63">
        <v>13</v>
      </c>
    </row>
    <row r="64" spans="1:10">
      <c r="A64">
        <v>1</v>
      </c>
      <c r="B64" t="s">
        <v>7</v>
      </c>
      <c r="C64" t="str">
        <f t="shared" si="0"/>
        <v>Y1Q2</v>
      </c>
      <c r="D64" t="s">
        <v>41</v>
      </c>
      <c r="E64" t="s">
        <v>17</v>
      </c>
      <c r="F64" t="s">
        <v>33</v>
      </c>
      <c r="G64" t="s">
        <v>67</v>
      </c>
      <c r="H64" t="s">
        <v>68</v>
      </c>
      <c r="I64" s="3">
        <v>0.3196</v>
      </c>
      <c r="J64">
        <v>32</v>
      </c>
    </row>
    <row r="65" spans="1:10">
      <c r="A65">
        <v>1</v>
      </c>
      <c r="B65" t="s">
        <v>7</v>
      </c>
      <c r="C65" t="str">
        <f t="shared" si="0"/>
        <v>Y1Q2</v>
      </c>
      <c r="D65" t="s">
        <v>41</v>
      </c>
      <c r="E65" t="s">
        <v>17</v>
      </c>
      <c r="F65" t="s">
        <v>33</v>
      </c>
      <c r="G65" t="s">
        <v>69</v>
      </c>
      <c r="H65" t="s">
        <v>70</v>
      </c>
      <c r="I65" s="3">
        <v>0.27179999999999999</v>
      </c>
      <c r="J65">
        <v>27</v>
      </c>
    </row>
    <row r="66" spans="1:10">
      <c r="A66">
        <v>1</v>
      </c>
      <c r="B66" t="s">
        <v>7</v>
      </c>
      <c r="C66" t="str">
        <f t="shared" si="0"/>
        <v>Y1Q2</v>
      </c>
      <c r="D66" t="s">
        <v>41</v>
      </c>
      <c r="E66" t="s">
        <v>17</v>
      </c>
      <c r="F66" t="s">
        <v>33</v>
      </c>
      <c r="G66" t="s">
        <v>71</v>
      </c>
      <c r="H66" t="s">
        <v>72</v>
      </c>
      <c r="I66" s="3">
        <v>0.23549999999999999</v>
      </c>
      <c r="J66">
        <v>24</v>
      </c>
    </row>
    <row r="67" spans="1:10">
      <c r="A67">
        <v>1</v>
      </c>
      <c r="B67" t="s">
        <v>7</v>
      </c>
      <c r="C67" t="str">
        <f t="shared" ref="C67:C130" si="1">"Y"&amp;A67&amp;B67</f>
        <v>Y1Q2</v>
      </c>
      <c r="D67" t="s">
        <v>41</v>
      </c>
      <c r="E67" t="s">
        <v>17</v>
      </c>
      <c r="F67" t="s">
        <v>33</v>
      </c>
      <c r="G67" t="s">
        <v>73</v>
      </c>
      <c r="H67" t="s">
        <v>74</v>
      </c>
      <c r="I67" s="3">
        <v>0.17299999999999999</v>
      </c>
      <c r="J67">
        <v>18</v>
      </c>
    </row>
    <row r="68" spans="1:10">
      <c r="A68">
        <v>1</v>
      </c>
      <c r="B68" t="s">
        <v>7</v>
      </c>
      <c r="C68" t="str">
        <f t="shared" si="1"/>
        <v>Y1Q2</v>
      </c>
      <c r="D68" t="s">
        <v>42</v>
      </c>
      <c r="E68" t="s">
        <v>17</v>
      </c>
      <c r="F68" t="s">
        <v>43</v>
      </c>
      <c r="G68" t="s">
        <v>79</v>
      </c>
      <c r="H68" t="s">
        <v>84</v>
      </c>
      <c r="I68" s="3">
        <v>0.62809999999999999</v>
      </c>
      <c r="J68">
        <v>73</v>
      </c>
    </row>
    <row r="69" spans="1:10">
      <c r="A69">
        <v>1</v>
      </c>
      <c r="B69" t="s">
        <v>7</v>
      </c>
      <c r="C69" t="str">
        <f t="shared" si="1"/>
        <v>Y1Q2</v>
      </c>
      <c r="D69" t="s">
        <v>42</v>
      </c>
      <c r="E69" t="s">
        <v>17</v>
      </c>
      <c r="F69" t="s">
        <v>43</v>
      </c>
      <c r="G69" t="s">
        <v>69</v>
      </c>
      <c r="H69" t="s">
        <v>85</v>
      </c>
      <c r="I69" s="3">
        <v>0.23830000000000001</v>
      </c>
      <c r="J69">
        <v>28</v>
      </c>
    </row>
    <row r="70" spans="1:10">
      <c r="A70">
        <v>1</v>
      </c>
      <c r="B70" t="s">
        <v>7</v>
      </c>
      <c r="C70" t="str">
        <f t="shared" si="1"/>
        <v>Y1Q2</v>
      </c>
      <c r="D70" t="s">
        <v>42</v>
      </c>
      <c r="E70" t="s">
        <v>17</v>
      </c>
      <c r="F70" t="s">
        <v>43</v>
      </c>
      <c r="G70" t="s">
        <v>71</v>
      </c>
      <c r="H70" t="s">
        <v>86</v>
      </c>
      <c r="I70" s="3">
        <v>0.1336</v>
      </c>
      <c r="J70">
        <v>15</v>
      </c>
    </row>
    <row r="71" spans="1:10">
      <c r="A71">
        <v>1</v>
      </c>
      <c r="B71" t="s">
        <v>7</v>
      </c>
      <c r="C71" t="str">
        <f t="shared" si="1"/>
        <v>Y1Q2</v>
      </c>
      <c r="D71" t="s">
        <v>45</v>
      </c>
      <c r="E71" t="s">
        <v>20</v>
      </c>
      <c r="F71" t="s">
        <v>46</v>
      </c>
      <c r="G71" t="s">
        <v>69</v>
      </c>
      <c r="H71" t="s">
        <v>87</v>
      </c>
      <c r="I71" s="3">
        <v>0.33289999999999997</v>
      </c>
      <c r="J71">
        <v>38</v>
      </c>
    </row>
    <row r="72" spans="1:10">
      <c r="A72">
        <v>1</v>
      </c>
      <c r="B72" t="s">
        <v>7</v>
      </c>
      <c r="C72" t="str">
        <f t="shared" si="1"/>
        <v>Y1Q2</v>
      </c>
      <c r="D72" t="s">
        <v>45</v>
      </c>
      <c r="E72" t="s">
        <v>20</v>
      </c>
      <c r="F72" t="s">
        <v>46</v>
      </c>
      <c r="G72" t="s">
        <v>79</v>
      </c>
      <c r="H72" t="s">
        <v>88</v>
      </c>
      <c r="I72" s="3">
        <v>0.27329999999999999</v>
      </c>
      <c r="J72">
        <v>31</v>
      </c>
    </row>
    <row r="73" spans="1:10">
      <c r="A73">
        <v>1</v>
      </c>
      <c r="B73" t="s">
        <v>7</v>
      </c>
      <c r="C73" t="str">
        <f t="shared" si="1"/>
        <v>Y1Q2</v>
      </c>
      <c r="D73" t="s">
        <v>45</v>
      </c>
      <c r="E73" t="s">
        <v>20</v>
      </c>
      <c r="F73" t="s">
        <v>46</v>
      </c>
      <c r="G73" t="s">
        <v>67</v>
      </c>
      <c r="H73" t="s">
        <v>89</v>
      </c>
      <c r="I73" s="3">
        <v>0.2445</v>
      </c>
      <c r="J73">
        <v>28</v>
      </c>
    </row>
    <row r="74" spans="1:10">
      <c r="A74">
        <v>1</v>
      </c>
      <c r="B74" t="s">
        <v>7</v>
      </c>
      <c r="C74" t="str">
        <f t="shared" si="1"/>
        <v>Y1Q2</v>
      </c>
      <c r="D74" t="s">
        <v>45</v>
      </c>
      <c r="E74" t="s">
        <v>20</v>
      </c>
      <c r="F74" t="s">
        <v>46</v>
      </c>
      <c r="G74" t="s">
        <v>71</v>
      </c>
      <c r="H74" t="s">
        <v>90</v>
      </c>
      <c r="I74" s="3">
        <v>0.14929999999999999</v>
      </c>
      <c r="J74">
        <v>18</v>
      </c>
    </row>
    <row r="75" spans="1:10">
      <c r="A75">
        <v>1</v>
      </c>
      <c r="B75" t="s">
        <v>7</v>
      </c>
      <c r="C75" t="str">
        <f t="shared" si="1"/>
        <v>Y1Q2</v>
      </c>
      <c r="D75" t="s">
        <v>48</v>
      </c>
      <c r="E75" t="s">
        <v>20</v>
      </c>
      <c r="F75" t="s">
        <v>36</v>
      </c>
      <c r="G75" t="s">
        <v>69</v>
      </c>
      <c r="H75" t="s">
        <v>75</v>
      </c>
      <c r="I75" s="3">
        <v>0.59279999999999999</v>
      </c>
      <c r="J75">
        <v>51</v>
      </c>
    </row>
    <row r="76" spans="1:10">
      <c r="A76">
        <v>1</v>
      </c>
      <c r="B76" t="s">
        <v>7</v>
      </c>
      <c r="C76" t="str">
        <f t="shared" si="1"/>
        <v>Y1Q2</v>
      </c>
      <c r="D76" t="s">
        <v>48</v>
      </c>
      <c r="E76" t="s">
        <v>20</v>
      </c>
      <c r="F76" t="s">
        <v>36</v>
      </c>
      <c r="G76" t="s">
        <v>67</v>
      </c>
      <c r="H76" t="s">
        <v>76</v>
      </c>
      <c r="I76" s="3">
        <v>0.29170000000000001</v>
      </c>
      <c r="J76">
        <v>25</v>
      </c>
    </row>
    <row r="77" spans="1:10">
      <c r="A77">
        <v>1</v>
      </c>
      <c r="B77" t="s">
        <v>7</v>
      </c>
      <c r="C77" t="str">
        <f t="shared" si="1"/>
        <v>Y1Q2</v>
      </c>
      <c r="D77" t="s">
        <v>48</v>
      </c>
      <c r="E77" t="s">
        <v>20</v>
      </c>
      <c r="F77" t="s">
        <v>36</v>
      </c>
      <c r="G77" t="s">
        <v>73</v>
      </c>
      <c r="H77" t="s">
        <v>77</v>
      </c>
      <c r="I77" s="3">
        <v>0.11559999999999999</v>
      </c>
      <c r="J77">
        <v>10</v>
      </c>
    </row>
    <row r="78" spans="1:10">
      <c r="A78">
        <v>1</v>
      </c>
      <c r="B78" t="s">
        <v>7</v>
      </c>
      <c r="C78" t="str">
        <f t="shared" si="1"/>
        <v>Y1Q2</v>
      </c>
      <c r="D78" t="s">
        <v>49</v>
      </c>
      <c r="E78" t="s">
        <v>20</v>
      </c>
      <c r="F78" t="s">
        <v>50</v>
      </c>
      <c r="G78" t="s">
        <v>79</v>
      </c>
      <c r="H78" t="s">
        <v>91</v>
      </c>
      <c r="I78" s="3">
        <v>0.58189999999999997</v>
      </c>
      <c r="J78">
        <v>45</v>
      </c>
    </row>
    <row r="79" spans="1:10">
      <c r="A79">
        <v>1</v>
      </c>
      <c r="B79" t="s">
        <v>7</v>
      </c>
      <c r="C79" t="str">
        <f t="shared" si="1"/>
        <v>Y1Q2</v>
      </c>
      <c r="D79" t="s">
        <v>49</v>
      </c>
      <c r="E79" t="s">
        <v>20</v>
      </c>
      <c r="F79" t="s">
        <v>50</v>
      </c>
      <c r="G79" t="s">
        <v>73</v>
      </c>
      <c r="H79" t="s">
        <v>92</v>
      </c>
      <c r="I79" s="3">
        <v>0.2989</v>
      </c>
      <c r="J79">
        <v>23</v>
      </c>
    </row>
    <row r="80" spans="1:10">
      <c r="A80">
        <v>1</v>
      </c>
      <c r="B80" t="s">
        <v>7</v>
      </c>
      <c r="C80" t="str">
        <f t="shared" si="1"/>
        <v>Y1Q2</v>
      </c>
      <c r="D80" t="s">
        <v>49</v>
      </c>
      <c r="E80" t="s">
        <v>20</v>
      </c>
      <c r="F80" t="s">
        <v>50</v>
      </c>
      <c r="G80" t="s">
        <v>71</v>
      </c>
      <c r="H80" t="s">
        <v>93</v>
      </c>
      <c r="I80" s="3">
        <v>0.1192</v>
      </c>
      <c r="J80">
        <v>10</v>
      </c>
    </row>
    <row r="81" spans="1:10">
      <c r="A81">
        <v>1</v>
      </c>
      <c r="B81" t="s">
        <v>7</v>
      </c>
      <c r="C81" t="str">
        <f t="shared" si="1"/>
        <v>Y1Q2</v>
      </c>
      <c r="D81" t="s">
        <v>52</v>
      </c>
      <c r="E81" t="s">
        <v>23</v>
      </c>
      <c r="F81" t="s">
        <v>39</v>
      </c>
      <c r="G81" t="s">
        <v>71</v>
      </c>
      <c r="H81" t="s">
        <v>78</v>
      </c>
      <c r="I81" s="3">
        <v>0.33090000000000003</v>
      </c>
      <c r="J81">
        <v>22</v>
      </c>
    </row>
    <row r="82" spans="1:10">
      <c r="A82">
        <v>1</v>
      </c>
      <c r="B82" t="s">
        <v>7</v>
      </c>
      <c r="C82" t="str">
        <f t="shared" si="1"/>
        <v>Y1Q2</v>
      </c>
      <c r="D82" t="s">
        <v>52</v>
      </c>
      <c r="E82" t="s">
        <v>23</v>
      </c>
      <c r="F82" t="s">
        <v>39</v>
      </c>
      <c r="G82" t="s">
        <v>79</v>
      </c>
      <c r="H82" t="s">
        <v>80</v>
      </c>
      <c r="I82" s="3">
        <v>0.23050000000000001</v>
      </c>
      <c r="J82">
        <v>15</v>
      </c>
    </row>
    <row r="83" spans="1:10">
      <c r="A83">
        <v>1</v>
      </c>
      <c r="B83" t="s">
        <v>7</v>
      </c>
      <c r="C83" t="str">
        <f t="shared" si="1"/>
        <v>Y1Q2</v>
      </c>
      <c r="D83" t="s">
        <v>52</v>
      </c>
      <c r="E83" t="s">
        <v>23</v>
      </c>
      <c r="F83" t="s">
        <v>39</v>
      </c>
      <c r="G83" t="s">
        <v>73</v>
      </c>
      <c r="H83" t="s">
        <v>83</v>
      </c>
      <c r="I83" s="3">
        <v>0.2233</v>
      </c>
      <c r="J83">
        <v>15</v>
      </c>
    </row>
    <row r="84" spans="1:10">
      <c r="A84">
        <v>1</v>
      </c>
      <c r="B84" t="s">
        <v>7</v>
      </c>
      <c r="C84" t="str">
        <f t="shared" si="1"/>
        <v>Y1Q2</v>
      </c>
      <c r="D84" t="s">
        <v>52</v>
      </c>
      <c r="E84" t="s">
        <v>23</v>
      </c>
      <c r="F84" t="s">
        <v>39</v>
      </c>
      <c r="G84" t="s">
        <v>67</v>
      </c>
      <c r="H84" t="s">
        <v>81</v>
      </c>
      <c r="I84" s="3">
        <v>0.1153</v>
      </c>
      <c r="J84">
        <v>8</v>
      </c>
    </row>
    <row r="85" spans="1:10">
      <c r="A85">
        <v>1</v>
      </c>
      <c r="B85" t="s">
        <v>7</v>
      </c>
      <c r="C85" t="str">
        <f t="shared" si="1"/>
        <v>Y1Q2</v>
      </c>
      <c r="D85" t="s">
        <v>52</v>
      </c>
      <c r="E85" t="s">
        <v>23</v>
      </c>
      <c r="F85" t="s">
        <v>39</v>
      </c>
      <c r="G85" t="s">
        <v>69</v>
      </c>
      <c r="H85" t="s">
        <v>82</v>
      </c>
      <c r="I85" s="3">
        <v>0.1</v>
      </c>
      <c r="J85">
        <v>7</v>
      </c>
    </row>
    <row r="86" spans="1:10">
      <c r="A86">
        <v>1</v>
      </c>
      <c r="B86" t="s">
        <v>7</v>
      </c>
      <c r="C86" t="str">
        <f t="shared" si="1"/>
        <v>Y1Q2</v>
      </c>
      <c r="D86" t="s">
        <v>53</v>
      </c>
      <c r="E86" t="s">
        <v>23</v>
      </c>
      <c r="F86" t="s">
        <v>54</v>
      </c>
      <c r="G86" t="s">
        <v>73</v>
      </c>
      <c r="H86" t="s">
        <v>94</v>
      </c>
      <c r="I86" s="3">
        <v>0.51559999999999995</v>
      </c>
      <c r="J86">
        <v>40</v>
      </c>
    </row>
    <row r="87" spans="1:10">
      <c r="A87">
        <v>1</v>
      </c>
      <c r="B87" t="s">
        <v>7</v>
      </c>
      <c r="C87" t="str">
        <f t="shared" si="1"/>
        <v>Y1Q2</v>
      </c>
      <c r="D87" t="s">
        <v>53</v>
      </c>
      <c r="E87" t="s">
        <v>23</v>
      </c>
      <c r="F87" t="s">
        <v>54</v>
      </c>
      <c r="G87" t="s">
        <v>79</v>
      </c>
      <c r="H87" t="s">
        <v>95</v>
      </c>
      <c r="I87" s="3">
        <v>0.29980000000000001</v>
      </c>
      <c r="J87">
        <v>23</v>
      </c>
    </row>
    <row r="88" spans="1:10">
      <c r="A88">
        <v>1</v>
      </c>
      <c r="B88" t="s">
        <v>7</v>
      </c>
      <c r="C88" t="str">
        <f t="shared" si="1"/>
        <v>Y1Q2</v>
      </c>
      <c r="D88" t="s">
        <v>53</v>
      </c>
      <c r="E88" t="s">
        <v>23</v>
      </c>
      <c r="F88" t="s">
        <v>54</v>
      </c>
      <c r="G88" t="s">
        <v>67</v>
      </c>
      <c r="H88" t="s">
        <v>96</v>
      </c>
      <c r="I88" s="3">
        <v>0.18459999999999999</v>
      </c>
      <c r="J88">
        <v>14</v>
      </c>
    </row>
    <row r="89" spans="1:10">
      <c r="A89">
        <v>1</v>
      </c>
      <c r="B89" t="s">
        <v>7</v>
      </c>
      <c r="C89" t="str">
        <f t="shared" si="1"/>
        <v>Y1Q2</v>
      </c>
      <c r="D89" t="s">
        <v>56</v>
      </c>
      <c r="E89" t="s">
        <v>23</v>
      </c>
      <c r="F89" t="s">
        <v>50</v>
      </c>
      <c r="G89" t="s">
        <v>79</v>
      </c>
      <c r="H89" t="s">
        <v>91</v>
      </c>
      <c r="I89" s="3">
        <v>0.49440000000000001</v>
      </c>
      <c r="J89">
        <v>29</v>
      </c>
    </row>
    <row r="90" spans="1:10">
      <c r="A90">
        <v>1</v>
      </c>
      <c r="B90" t="s">
        <v>7</v>
      </c>
      <c r="C90" t="str">
        <f t="shared" si="1"/>
        <v>Y1Q2</v>
      </c>
      <c r="D90" t="s">
        <v>56</v>
      </c>
      <c r="E90" t="s">
        <v>23</v>
      </c>
      <c r="F90" t="s">
        <v>50</v>
      </c>
      <c r="G90" t="s">
        <v>73</v>
      </c>
      <c r="H90" t="s">
        <v>92</v>
      </c>
      <c r="I90" s="3">
        <v>0.39250000000000002</v>
      </c>
      <c r="J90">
        <v>23</v>
      </c>
    </row>
    <row r="91" spans="1:10">
      <c r="A91">
        <v>1</v>
      </c>
      <c r="B91" t="s">
        <v>7</v>
      </c>
      <c r="C91" t="str">
        <f t="shared" si="1"/>
        <v>Y1Q2</v>
      </c>
      <c r="D91" t="s">
        <v>56</v>
      </c>
      <c r="E91" t="s">
        <v>23</v>
      </c>
      <c r="F91" t="s">
        <v>50</v>
      </c>
      <c r="G91" t="s">
        <v>71</v>
      </c>
      <c r="H91" t="s">
        <v>93</v>
      </c>
      <c r="I91" s="3">
        <v>0.11310000000000001</v>
      </c>
      <c r="J91">
        <v>6</v>
      </c>
    </row>
    <row r="92" spans="1:10">
      <c r="A92">
        <v>1</v>
      </c>
      <c r="B92" t="s">
        <v>7</v>
      </c>
      <c r="C92" t="str">
        <f t="shared" si="1"/>
        <v>Y1Q2</v>
      </c>
      <c r="D92" t="s">
        <v>57</v>
      </c>
      <c r="E92" t="s">
        <v>23</v>
      </c>
      <c r="F92" t="s">
        <v>43</v>
      </c>
      <c r="G92" t="s">
        <v>79</v>
      </c>
      <c r="H92" t="s">
        <v>84</v>
      </c>
      <c r="I92" s="3">
        <v>0.69479999999999997</v>
      </c>
      <c r="J92">
        <v>30</v>
      </c>
    </row>
    <row r="93" spans="1:10">
      <c r="A93">
        <v>1</v>
      </c>
      <c r="B93" t="s">
        <v>7</v>
      </c>
      <c r="C93" t="str">
        <f t="shared" si="1"/>
        <v>Y1Q2</v>
      </c>
      <c r="D93" t="s">
        <v>57</v>
      </c>
      <c r="E93" t="s">
        <v>23</v>
      </c>
      <c r="F93" t="s">
        <v>43</v>
      </c>
      <c r="G93" t="s">
        <v>69</v>
      </c>
      <c r="H93" t="s">
        <v>85</v>
      </c>
      <c r="I93" s="3">
        <v>0.1938</v>
      </c>
      <c r="J93">
        <v>8</v>
      </c>
    </row>
    <row r="94" spans="1:10">
      <c r="A94">
        <v>1</v>
      </c>
      <c r="B94" t="s">
        <v>7</v>
      </c>
      <c r="C94" t="str">
        <f t="shared" si="1"/>
        <v>Y1Q2</v>
      </c>
      <c r="D94" t="s">
        <v>57</v>
      </c>
      <c r="E94" t="s">
        <v>23</v>
      </c>
      <c r="F94" t="s">
        <v>43</v>
      </c>
      <c r="G94" t="s">
        <v>71</v>
      </c>
      <c r="H94" t="s">
        <v>86</v>
      </c>
      <c r="I94" s="3">
        <v>0.1114</v>
      </c>
      <c r="J94">
        <v>5</v>
      </c>
    </row>
    <row r="95" spans="1:10">
      <c r="A95">
        <v>1</v>
      </c>
      <c r="B95" t="s">
        <v>7</v>
      </c>
      <c r="C95" t="str">
        <f t="shared" si="1"/>
        <v>Y1Q2</v>
      </c>
      <c r="D95" t="s">
        <v>58</v>
      </c>
      <c r="E95" t="s">
        <v>26</v>
      </c>
      <c r="F95" t="s">
        <v>46</v>
      </c>
      <c r="G95" t="s">
        <v>69</v>
      </c>
      <c r="H95" t="s">
        <v>87</v>
      </c>
      <c r="I95" s="3">
        <v>0.42859999999999998</v>
      </c>
      <c r="J95">
        <v>44</v>
      </c>
    </row>
    <row r="96" spans="1:10">
      <c r="A96">
        <v>1</v>
      </c>
      <c r="B96" t="s">
        <v>7</v>
      </c>
      <c r="C96" t="str">
        <f t="shared" si="1"/>
        <v>Y1Q2</v>
      </c>
      <c r="D96" t="s">
        <v>58</v>
      </c>
      <c r="E96" t="s">
        <v>26</v>
      </c>
      <c r="F96" t="s">
        <v>46</v>
      </c>
      <c r="G96" t="s">
        <v>67</v>
      </c>
      <c r="H96" t="s">
        <v>89</v>
      </c>
      <c r="I96" s="3">
        <v>0.28620000000000001</v>
      </c>
      <c r="J96">
        <v>29</v>
      </c>
    </row>
    <row r="97" spans="1:10">
      <c r="A97">
        <v>1</v>
      </c>
      <c r="B97" t="s">
        <v>7</v>
      </c>
      <c r="C97" t="str">
        <f t="shared" si="1"/>
        <v>Y1Q2</v>
      </c>
      <c r="D97" t="s">
        <v>58</v>
      </c>
      <c r="E97" t="s">
        <v>26</v>
      </c>
      <c r="F97" t="s">
        <v>46</v>
      </c>
      <c r="G97" t="s">
        <v>79</v>
      </c>
      <c r="H97" t="s">
        <v>88</v>
      </c>
      <c r="I97" s="3">
        <v>0.1825</v>
      </c>
      <c r="J97">
        <v>19</v>
      </c>
    </row>
    <row r="98" spans="1:10">
      <c r="A98">
        <v>1</v>
      </c>
      <c r="B98" t="s">
        <v>7</v>
      </c>
      <c r="C98" t="str">
        <f t="shared" si="1"/>
        <v>Y1Q2</v>
      </c>
      <c r="D98" t="s">
        <v>58</v>
      </c>
      <c r="E98" t="s">
        <v>26</v>
      </c>
      <c r="F98" t="s">
        <v>46</v>
      </c>
      <c r="G98" t="s">
        <v>71</v>
      </c>
      <c r="H98" t="s">
        <v>90</v>
      </c>
      <c r="I98" s="3">
        <v>0.1027</v>
      </c>
      <c r="J98">
        <v>11</v>
      </c>
    </row>
    <row r="99" spans="1:10">
      <c r="A99">
        <v>1</v>
      </c>
      <c r="B99" t="s">
        <v>7</v>
      </c>
      <c r="C99" t="str">
        <f t="shared" si="1"/>
        <v>Y1Q2</v>
      </c>
      <c r="D99" t="s">
        <v>59</v>
      </c>
      <c r="E99" t="s">
        <v>26</v>
      </c>
      <c r="F99" t="s">
        <v>54</v>
      </c>
      <c r="G99" t="s">
        <v>73</v>
      </c>
      <c r="H99" t="s">
        <v>94</v>
      </c>
      <c r="I99" s="3">
        <v>0.45610000000000001</v>
      </c>
      <c r="J99">
        <v>30</v>
      </c>
    </row>
    <row r="100" spans="1:10">
      <c r="A100">
        <v>1</v>
      </c>
      <c r="B100" t="s">
        <v>7</v>
      </c>
      <c r="C100" t="str">
        <f t="shared" si="1"/>
        <v>Y1Q2</v>
      </c>
      <c r="D100" t="s">
        <v>59</v>
      </c>
      <c r="E100" t="s">
        <v>26</v>
      </c>
      <c r="F100" t="s">
        <v>54</v>
      </c>
      <c r="G100" t="s">
        <v>79</v>
      </c>
      <c r="H100" t="s">
        <v>95</v>
      </c>
      <c r="I100" s="3">
        <v>0.32269999999999999</v>
      </c>
      <c r="J100">
        <v>21</v>
      </c>
    </row>
    <row r="101" spans="1:10">
      <c r="A101">
        <v>1</v>
      </c>
      <c r="B101" t="s">
        <v>7</v>
      </c>
      <c r="C101" t="str">
        <f t="shared" si="1"/>
        <v>Y1Q2</v>
      </c>
      <c r="D101" t="s">
        <v>59</v>
      </c>
      <c r="E101" t="s">
        <v>26</v>
      </c>
      <c r="F101" t="s">
        <v>54</v>
      </c>
      <c r="G101" t="s">
        <v>67</v>
      </c>
      <c r="H101" t="s">
        <v>96</v>
      </c>
      <c r="I101" s="3">
        <v>0.22120000000000001</v>
      </c>
      <c r="J101">
        <v>15</v>
      </c>
    </row>
    <row r="102" spans="1:10">
      <c r="A102">
        <v>1</v>
      </c>
      <c r="B102" t="s">
        <v>8</v>
      </c>
      <c r="C102" t="str">
        <f t="shared" si="1"/>
        <v>Y1Q3</v>
      </c>
      <c r="D102" t="s">
        <v>32</v>
      </c>
      <c r="E102" t="s">
        <v>14</v>
      </c>
      <c r="F102" t="s">
        <v>33</v>
      </c>
      <c r="G102" t="s">
        <v>67</v>
      </c>
      <c r="H102" t="s">
        <v>68</v>
      </c>
      <c r="I102" s="3">
        <v>0.4294</v>
      </c>
      <c r="J102">
        <v>64</v>
      </c>
    </row>
    <row r="103" spans="1:10">
      <c r="A103">
        <v>1</v>
      </c>
      <c r="B103" t="s">
        <v>8</v>
      </c>
      <c r="C103" t="str">
        <f t="shared" si="1"/>
        <v>Y1Q3</v>
      </c>
      <c r="D103" t="s">
        <v>32</v>
      </c>
      <c r="E103" t="s">
        <v>14</v>
      </c>
      <c r="F103" t="s">
        <v>33</v>
      </c>
      <c r="G103" t="s">
        <v>69</v>
      </c>
      <c r="H103" t="s">
        <v>70</v>
      </c>
      <c r="I103" s="3">
        <v>0.25569999999999998</v>
      </c>
      <c r="J103">
        <v>38</v>
      </c>
    </row>
    <row r="104" spans="1:10">
      <c r="A104">
        <v>1</v>
      </c>
      <c r="B104" t="s">
        <v>8</v>
      </c>
      <c r="C104" t="str">
        <f t="shared" si="1"/>
        <v>Y1Q3</v>
      </c>
      <c r="D104" t="s">
        <v>32</v>
      </c>
      <c r="E104" t="s">
        <v>14</v>
      </c>
      <c r="F104" t="s">
        <v>33</v>
      </c>
      <c r="G104" t="s">
        <v>71</v>
      </c>
      <c r="H104" t="s">
        <v>72</v>
      </c>
      <c r="I104" s="3">
        <v>0.2069</v>
      </c>
      <c r="J104">
        <v>31</v>
      </c>
    </row>
    <row r="105" spans="1:10">
      <c r="A105">
        <v>1</v>
      </c>
      <c r="B105" t="s">
        <v>8</v>
      </c>
      <c r="C105" t="str">
        <f t="shared" si="1"/>
        <v>Y1Q3</v>
      </c>
      <c r="D105" t="s">
        <v>32</v>
      </c>
      <c r="E105" t="s">
        <v>14</v>
      </c>
      <c r="F105" t="s">
        <v>33</v>
      </c>
      <c r="G105" t="s">
        <v>73</v>
      </c>
      <c r="H105" t="s">
        <v>74</v>
      </c>
      <c r="I105" s="3">
        <v>0.108</v>
      </c>
      <c r="J105">
        <v>17</v>
      </c>
    </row>
    <row r="106" spans="1:10">
      <c r="A106">
        <v>1</v>
      </c>
      <c r="B106" t="s">
        <v>8</v>
      </c>
      <c r="C106" t="str">
        <f t="shared" si="1"/>
        <v>Y1Q3</v>
      </c>
      <c r="D106" t="s">
        <v>35</v>
      </c>
      <c r="E106" t="s">
        <v>14</v>
      </c>
      <c r="F106" t="s">
        <v>36</v>
      </c>
      <c r="G106" t="s">
        <v>69</v>
      </c>
      <c r="H106" t="s">
        <v>75</v>
      </c>
      <c r="I106" s="3">
        <v>0.55379999999999996</v>
      </c>
      <c r="J106">
        <v>47</v>
      </c>
    </row>
    <row r="107" spans="1:10">
      <c r="A107">
        <v>1</v>
      </c>
      <c r="B107" t="s">
        <v>8</v>
      </c>
      <c r="C107" t="str">
        <f t="shared" si="1"/>
        <v>Y1Q3</v>
      </c>
      <c r="D107" t="s">
        <v>35</v>
      </c>
      <c r="E107" t="s">
        <v>14</v>
      </c>
      <c r="F107" t="s">
        <v>36</v>
      </c>
      <c r="G107" t="s">
        <v>67</v>
      </c>
      <c r="H107" t="s">
        <v>76</v>
      </c>
      <c r="I107" s="3">
        <v>0.32490000000000002</v>
      </c>
      <c r="J107">
        <v>27</v>
      </c>
    </row>
    <row r="108" spans="1:10">
      <c r="A108">
        <v>1</v>
      </c>
      <c r="B108" t="s">
        <v>8</v>
      </c>
      <c r="C108" t="str">
        <f t="shared" si="1"/>
        <v>Y1Q3</v>
      </c>
      <c r="D108" t="s">
        <v>35</v>
      </c>
      <c r="E108" t="s">
        <v>14</v>
      </c>
      <c r="F108" t="s">
        <v>36</v>
      </c>
      <c r="G108" t="s">
        <v>73</v>
      </c>
      <c r="H108" t="s">
        <v>77</v>
      </c>
      <c r="I108" s="3">
        <v>0.12130000000000001</v>
      </c>
      <c r="J108">
        <v>10</v>
      </c>
    </row>
    <row r="109" spans="1:10">
      <c r="A109">
        <v>1</v>
      </c>
      <c r="B109" t="s">
        <v>8</v>
      </c>
      <c r="C109" t="str">
        <f t="shared" si="1"/>
        <v>Y1Q3</v>
      </c>
      <c r="D109" t="s">
        <v>38</v>
      </c>
      <c r="E109" t="s">
        <v>17</v>
      </c>
      <c r="F109" t="s">
        <v>39</v>
      </c>
      <c r="G109" t="s">
        <v>71</v>
      </c>
      <c r="H109" t="s">
        <v>78</v>
      </c>
      <c r="I109" s="3">
        <v>0.36990000000000001</v>
      </c>
      <c r="J109">
        <v>90</v>
      </c>
    </row>
    <row r="110" spans="1:10">
      <c r="A110">
        <v>1</v>
      </c>
      <c r="B110" t="s">
        <v>8</v>
      </c>
      <c r="C110" t="str">
        <f t="shared" si="1"/>
        <v>Y1Q3</v>
      </c>
      <c r="D110" t="s">
        <v>38</v>
      </c>
      <c r="E110" t="s">
        <v>17</v>
      </c>
      <c r="F110" t="s">
        <v>39</v>
      </c>
      <c r="G110" t="s">
        <v>79</v>
      </c>
      <c r="H110" t="s">
        <v>80</v>
      </c>
      <c r="I110" s="3">
        <v>0.24030000000000001</v>
      </c>
      <c r="J110">
        <v>58</v>
      </c>
    </row>
    <row r="111" spans="1:10">
      <c r="A111">
        <v>1</v>
      </c>
      <c r="B111" t="s">
        <v>8</v>
      </c>
      <c r="C111" t="str">
        <f t="shared" si="1"/>
        <v>Y1Q3</v>
      </c>
      <c r="D111" t="s">
        <v>38</v>
      </c>
      <c r="E111" t="s">
        <v>17</v>
      </c>
      <c r="F111" t="s">
        <v>39</v>
      </c>
      <c r="G111" t="s">
        <v>67</v>
      </c>
      <c r="H111" t="s">
        <v>81</v>
      </c>
      <c r="I111" s="3">
        <v>0.1741</v>
      </c>
      <c r="J111">
        <v>42</v>
      </c>
    </row>
    <row r="112" spans="1:10">
      <c r="A112">
        <v>1</v>
      </c>
      <c r="B112" t="s">
        <v>8</v>
      </c>
      <c r="C112" t="str">
        <f t="shared" si="1"/>
        <v>Y1Q3</v>
      </c>
      <c r="D112" t="s">
        <v>38</v>
      </c>
      <c r="E112" t="s">
        <v>17</v>
      </c>
      <c r="F112" t="s">
        <v>39</v>
      </c>
      <c r="G112" t="s">
        <v>69</v>
      </c>
      <c r="H112" t="s">
        <v>82</v>
      </c>
      <c r="I112" s="3">
        <v>0.15010000000000001</v>
      </c>
      <c r="J112">
        <v>36</v>
      </c>
    </row>
    <row r="113" spans="1:10">
      <c r="A113">
        <v>1</v>
      </c>
      <c r="B113" t="s">
        <v>8</v>
      </c>
      <c r="C113" t="str">
        <f t="shared" si="1"/>
        <v>Y1Q3</v>
      </c>
      <c r="D113" t="s">
        <v>38</v>
      </c>
      <c r="E113" t="s">
        <v>17</v>
      </c>
      <c r="F113" t="s">
        <v>39</v>
      </c>
      <c r="G113" t="s">
        <v>73</v>
      </c>
      <c r="H113" t="s">
        <v>83</v>
      </c>
      <c r="I113" s="3">
        <v>6.5600000000000006E-2</v>
      </c>
      <c r="J113">
        <v>17</v>
      </c>
    </row>
    <row r="114" spans="1:10">
      <c r="A114">
        <v>1</v>
      </c>
      <c r="B114" t="s">
        <v>8</v>
      </c>
      <c r="C114" t="str">
        <f t="shared" si="1"/>
        <v>Y1Q3</v>
      </c>
      <c r="D114" t="s">
        <v>41</v>
      </c>
      <c r="E114" t="s">
        <v>17</v>
      </c>
      <c r="F114" t="s">
        <v>33</v>
      </c>
      <c r="G114" t="s">
        <v>67</v>
      </c>
      <c r="H114" t="s">
        <v>68</v>
      </c>
      <c r="I114" s="3">
        <v>0.33439999999999998</v>
      </c>
      <c r="J114">
        <v>38</v>
      </c>
    </row>
    <row r="115" spans="1:10">
      <c r="A115">
        <v>1</v>
      </c>
      <c r="B115" t="s">
        <v>8</v>
      </c>
      <c r="C115" t="str">
        <f t="shared" si="1"/>
        <v>Y1Q3</v>
      </c>
      <c r="D115" t="s">
        <v>41</v>
      </c>
      <c r="E115" t="s">
        <v>17</v>
      </c>
      <c r="F115" t="s">
        <v>33</v>
      </c>
      <c r="G115" t="s">
        <v>69</v>
      </c>
      <c r="H115" t="s">
        <v>70</v>
      </c>
      <c r="I115" s="3">
        <v>0.27129999999999999</v>
      </c>
      <c r="J115">
        <v>31</v>
      </c>
    </row>
    <row r="116" spans="1:10">
      <c r="A116">
        <v>1</v>
      </c>
      <c r="B116" t="s">
        <v>8</v>
      </c>
      <c r="C116" t="str">
        <f t="shared" si="1"/>
        <v>Y1Q3</v>
      </c>
      <c r="D116" t="s">
        <v>41</v>
      </c>
      <c r="E116" t="s">
        <v>17</v>
      </c>
      <c r="F116" t="s">
        <v>33</v>
      </c>
      <c r="G116" t="s">
        <v>71</v>
      </c>
      <c r="H116" t="s">
        <v>72</v>
      </c>
      <c r="I116" s="3">
        <v>0.22689999999999999</v>
      </c>
      <c r="J116">
        <v>26</v>
      </c>
    </row>
    <row r="117" spans="1:10">
      <c r="A117">
        <v>1</v>
      </c>
      <c r="B117" t="s">
        <v>8</v>
      </c>
      <c r="C117" t="str">
        <f t="shared" si="1"/>
        <v>Y1Q3</v>
      </c>
      <c r="D117" t="s">
        <v>41</v>
      </c>
      <c r="E117" t="s">
        <v>17</v>
      </c>
      <c r="F117" t="s">
        <v>33</v>
      </c>
      <c r="G117" t="s">
        <v>73</v>
      </c>
      <c r="H117" t="s">
        <v>74</v>
      </c>
      <c r="I117" s="3">
        <v>0.16750000000000001</v>
      </c>
      <c r="J117">
        <v>20</v>
      </c>
    </row>
    <row r="118" spans="1:10">
      <c r="A118">
        <v>1</v>
      </c>
      <c r="B118" t="s">
        <v>8</v>
      </c>
      <c r="C118" t="str">
        <f t="shared" si="1"/>
        <v>Y1Q3</v>
      </c>
      <c r="D118" t="s">
        <v>42</v>
      </c>
      <c r="E118" t="s">
        <v>17</v>
      </c>
      <c r="F118" t="s">
        <v>43</v>
      </c>
      <c r="G118" t="s">
        <v>79</v>
      </c>
      <c r="H118" t="s">
        <v>84</v>
      </c>
      <c r="I118" s="3">
        <v>0.62009999999999998</v>
      </c>
      <c r="J118">
        <v>68</v>
      </c>
    </row>
    <row r="119" spans="1:10">
      <c r="A119">
        <v>1</v>
      </c>
      <c r="B119" t="s">
        <v>8</v>
      </c>
      <c r="C119" t="str">
        <f t="shared" si="1"/>
        <v>Y1Q3</v>
      </c>
      <c r="D119" t="s">
        <v>42</v>
      </c>
      <c r="E119" t="s">
        <v>17</v>
      </c>
      <c r="F119" t="s">
        <v>43</v>
      </c>
      <c r="G119" t="s">
        <v>69</v>
      </c>
      <c r="H119" t="s">
        <v>85</v>
      </c>
      <c r="I119" s="3">
        <v>0.23719999999999999</v>
      </c>
      <c r="J119">
        <v>26</v>
      </c>
    </row>
    <row r="120" spans="1:10">
      <c r="A120">
        <v>1</v>
      </c>
      <c r="B120" t="s">
        <v>8</v>
      </c>
      <c r="C120" t="str">
        <f t="shared" si="1"/>
        <v>Y1Q3</v>
      </c>
      <c r="D120" t="s">
        <v>42</v>
      </c>
      <c r="E120" t="s">
        <v>17</v>
      </c>
      <c r="F120" t="s">
        <v>43</v>
      </c>
      <c r="G120" t="s">
        <v>71</v>
      </c>
      <c r="H120" t="s">
        <v>86</v>
      </c>
      <c r="I120" s="3">
        <v>0.14269999999999999</v>
      </c>
      <c r="J120">
        <v>16</v>
      </c>
    </row>
    <row r="121" spans="1:10">
      <c r="A121">
        <v>1</v>
      </c>
      <c r="B121" t="s">
        <v>8</v>
      </c>
      <c r="C121" t="str">
        <f t="shared" si="1"/>
        <v>Y1Q3</v>
      </c>
      <c r="D121" t="s">
        <v>45</v>
      </c>
      <c r="E121" t="s">
        <v>20</v>
      </c>
      <c r="F121" t="s">
        <v>46</v>
      </c>
      <c r="G121" t="s">
        <v>69</v>
      </c>
      <c r="H121" t="s">
        <v>87</v>
      </c>
      <c r="I121" s="3">
        <v>0.34960000000000002</v>
      </c>
      <c r="J121">
        <v>42</v>
      </c>
    </row>
    <row r="122" spans="1:10">
      <c r="A122">
        <v>1</v>
      </c>
      <c r="B122" t="s">
        <v>8</v>
      </c>
      <c r="C122" t="str">
        <f t="shared" si="1"/>
        <v>Y1Q3</v>
      </c>
      <c r="D122" t="s">
        <v>45</v>
      </c>
      <c r="E122" t="s">
        <v>20</v>
      </c>
      <c r="F122" t="s">
        <v>46</v>
      </c>
      <c r="G122" t="s">
        <v>79</v>
      </c>
      <c r="H122" t="s">
        <v>88</v>
      </c>
      <c r="I122" s="3">
        <v>0.2853</v>
      </c>
      <c r="J122">
        <v>34</v>
      </c>
    </row>
    <row r="123" spans="1:10">
      <c r="A123">
        <v>1</v>
      </c>
      <c r="B123" t="s">
        <v>8</v>
      </c>
      <c r="C123" t="str">
        <f t="shared" si="1"/>
        <v>Y1Q3</v>
      </c>
      <c r="D123" t="s">
        <v>45</v>
      </c>
      <c r="E123" t="s">
        <v>20</v>
      </c>
      <c r="F123" t="s">
        <v>46</v>
      </c>
      <c r="G123" t="s">
        <v>67</v>
      </c>
      <c r="H123" t="s">
        <v>89</v>
      </c>
      <c r="I123" s="3">
        <v>0.24360000000000001</v>
      </c>
      <c r="J123">
        <v>29</v>
      </c>
    </row>
    <row r="124" spans="1:10">
      <c r="A124">
        <v>1</v>
      </c>
      <c r="B124" t="s">
        <v>8</v>
      </c>
      <c r="C124" t="str">
        <f t="shared" si="1"/>
        <v>Y1Q3</v>
      </c>
      <c r="D124" t="s">
        <v>45</v>
      </c>
      <c r="E124" t="s">
        <v>20</v>
      </c>
      <c r="F124" t="s">
        <v>46</v>
      </c>
      <c r="G124" t="s">
        <v>71</v>
      </c>
      <c r="H124" t="s">
        <v>90</v>
      </c>
      <c r="I124" s="3">
        <v>0.1215</v>
      </c>
      <c r="J124">
        <v>15</v>
      </c>
    </row>
    <row r="125" spans="1:10">
      <c r="A125">
        <v>1</v>
      </c>
      <c r="B125" t="s">
        <v>8</v>
      </c>
      <c r="C125" t="str">
        <f t="shared" si="1"/>
        <v>Y1Q3</v>
      </c>
      <c r="D125" t="s">
        <v>48</v>
      </c>
      <c r="E125" t="s">
        <v>20</v>
      </c>
      <c r="F125" t="s">
        <v>36</v>
      </c>
      <c r="G125" t="s">
        <v>69</v>
      </c>
      <c r="H125" t="s">
        <v>75</v>
      </c>
      <c r="I125" s="3">
        <v>0.59799999999999998</v>
      </c>
      <c r="J125">
        <v>55</v>
      </c>
    </row>
    <row r="126" spans="1:10">
      <c r="A126">
        <v>1</v>
      </c>
      <c r="B126" t="s">
        <v>8</v>
      </c>
      <c r="C126" t="str">
        <f t="shared" si="1"/>
        <v>Y1Q3</v>
      </c>
      <c r="D126" t="s">
        <v>48</v>
      </c>
      <c r="E126" t="s">
        <v>20</v>
      </c>
      <c r="F126" t="s">
        <v>36</v>
      </c>
      <c r="G126" t="s">
        <v>67</v>
      </c>
      <c r="H126" t="s">
        <v>76</v>
      </c>
      <c r="I126" s="3">
        <v>0.30330000000000001</v>
      </c>
      <c r="J126">
        <v>28</v>
      </c>
    </row>
    <row r="127" spans="1:10">
      <c r="A127">
        <v>1</v>
      </c>
      <c r="B127" t="s">
        <v>8</v>
      </c>
      <c r="C127" t="str">
        <f t="shared" si="1"/>
        <v>Y1Q3</v>
      </c>
      <c r="D127" t="s">
        <v>48</v>
      </c>
      <c r="E127" t="s">
        <v>20</v>
      </c>
      <c r="F127" t="s">
        <v>36</v>
      </c>
      <c r="G127" t="s">
        <v>73</v>
      </c>
      <c r="H127" t="s">
        <v>77</v>
      </c>
      <c r="I127" s="3">
        <v>9.8599999999999993E-2</v>
      </c>
      <c r="J127">
        <v>9</v>
      </c>
    </row>
    <row r="128" spans="1:10">
      <c r="A128">
        <v>1</v>
      </c>
      <c r="B128" t="s">
        <v>8</v>
      </c>
      <c r="C128" t="str">
        <f t="shared" si="1"/>
        <v>Y1Q3</v>
      </c>
      <c r="D128" t="s">
        <v>49</v>
      </c>
      <c r="E128" t="s">
        <v>20</v>
      </c>
      <c r="F128" t="s">
        <v>50</v>
      </c>
      <c r="G128" t="s">
        <v>79</v>
      </c>
      <c r="H128" t="s">
        <v>91</v>
      </c>
      <c r="I128" s="3">
        <v>0.55969999999999998</v>
      </c>
      <c r="J128">
        <v>41</v>
      </c>
    </row>
    <row r="129" spans="1:10">
      <c r="A129">
        <v>1</v>
      </c>
      <c r="B129" t="s">
        <v>8</v>
      </c>
      <c r="C129" t="str">
        <f t="shared" si="1"/>
        <v>Y1Q3</v>
      </c>
      <c r="D129" t="s">
        <v>49</v>
      </c>
      <c r="E129" t="s">
        <v>20</v>
      </c>
      <c r="F129" t="s">
        <v>50</v>
      </c>
      <c r="G129" t="s">
        <v>73</v>
      </c>
      <c r="H129" t="s">
        <v>92</v>
      </c>
      <c r="I129" s="3">
        <v>0.31669999999999998</v>
      </c>
      <c r="J129">
        <v>23</v>
      </c>
    </row>
    <row r="130" spans="1:10">
      <c r="A130">
        <v>1</v>
      </c>
      <c r="B130" t="s">
        <v>8</v>
      </c>
      <c r="C130" t="str">
        <f t="shared" si="1"/>
        <v>Y1Q3</v>
      </c>
      <c r="D130" t="s">
        <v>49</v>
      </c>
      <c r="E130" t="s">
        <v>20</v>
      </c>
      <c r="F130" t="s">
        <v>50</v>
      </c>
      <c r="G130" t="s">
        <v>71</v>
      </c>
      <c r="H130" t="s">
        <v>93</v>
      </c>
      <c r="I130" s="3">
        <v>0.1237</v>
      </c>
      <c r="J130">
        <v>10</v>
      </c>
    </row>
    <row r="131" spans="1:10">
      <c r="A131">
        <v>1</v>
      </c>
      <c r="B131" t="s">
        <v>8</v>
      </c>
      <c r="C131" t="str">
        <f t="shared" ref="C131:C194" si="2">"Y"&amp;A131&amp;B131</f>
        <v>Y1Q3</v>
      </c>
      <c r="D131" t="s">
        <v>52</v>
      </c>
      <c r="E131" t="s">
        <v>23</v>
      </c>
      <c r="F131" t="s">
        <v>39</v>
      </c>
      <c r="G131" t="s">
        <v>71</v>
      </c>
      <c r="H131" t="s">
        <v>78</v>
      </c>
      <c r="I131" s="3">
        <v>0.32990000000000003</v>
      </c>
      <c r="J131">
        <v>23</v>
      </c>
    </row>
    <row r="132" spans="1:10">
      <c r="A132">
        <v>1</v>
      </c>
      <c r="B132" t="s">
        <v>8</v>
      </c>
      <c r="C132" t="str">
        <f t="shared" si="2"/>
        <v>Y1Q3</v>
      </c>
      <c r="D132" t="s">
        <v>52</v>
      </c>
      <c r="E132" t="s">
        <v>23</v>
      </c>
      <c r="F132" t="s">
        <v>39</v>
      </c>
      <c r="G132" t="s">
        <v>79</v>
      </c>
      <c r="H132" t="s">
        <v>80</v>
      </c>
      <c r="I132" s="3">
        <v>0.24590000000000001</v>
      </c>
      <c r="J132">
        <v>17</v>
      </c>
    </row>
    <row r="133" spans="1:10">
      <c r="A133">
        <v>1</v>
      </c>
      <c r="B133" t="s">
        <v>8</v>
      </c>
      <c r="C133" t="str">
        <f t="shared" si="2"/>
        <v>Y1Q3</v>
      </c>
      <c r="D133" t="s">
        <v>52</v>
      </c>
      <c r="E133" t="s">
        <v>23</v>
      </c>
      <c r="F133" t="s">
        <v>39</v>
      </c>
      <c r="G133" t="s">
        <v>73</v>
      </c>
      <c r="H133" t="s">
        <v>83</v>
      </c>
      <c r="I133" s="3">
        <v>0.2016</v>
      </c>
      <c r="J133">
        <v>14</v>
      </c>
    </row>
    <row r="134" spans="1:10">
      <c r="A134">
        <v>1</v>
      </c>
      <c r="B134" t="s">
        <v>8</v>
      </c>
      <c r="C134" t="str">
        <f t="shared" si="2"/>
        <v>Y1Q3</v>
      </c>
      <c r="D134" t="s">
        <v>52</v>
      </c>
      <c r="E134" t="s">
        <v>23</v>
      </c>
      <c r="F134" t="s">
        <v>39</v>
      </c>
      <c r="G134" t="s">
        <v>67</v>
      </c>
      <c r="H134" t="s">
        <v>81</v>
      </c>
      <c r="I134" s="3">
        <v>0.10489999999999999</v>
      </c>
      <c r="J134">
        <v>7</v>
      </c>
    </row>
    <row r="135" spans="1:10">
      <c r="A135">
        <v>1</v>
      </c>
      <c r="B135" t="s">
        <v>8</v>
      </c>
      <c r="C135" t="str">
        <f t="shared" si="2"/>
        <v>Y1Q3</v>
      </c>
      <c r="D135" t="s">
        <v>52</v>
      </c>
      <c r="E135" t="s">
        <v>23</v>
      </c>
      <c r="F135" t="s">
        <v>39</v>
      </c>
      <c r="G135" t="s">
        <v>69</v>
      </c>
      <c r="H135" t="s">
        <v>82</v>
      </c>
      <c r="I135" s="3">
        <v>0.1177</v>
      </c>
      <c r="J135">
        <v>8</v>
      </c>
    </row>
    <row r="136" spans="1:10">
      <c r="A136">
        <v>1</v>
      </c>
      <c r="B136" t="s">
        <v>8</v>
      </c>
      <c r="C136" t="str">
        <f t="shared" si="2"/>
        <v>Y1Q3</v>
      </c>
      <c r="D136" t="s">
        <v>53</v>
      </c>
      <c r="E136" t="s">
        <v>23</v>
      </c>
      <c r="F136" t="s">
        <v>54</v>
      </c>
      <c r="G136" t="s">
        <v>73</v>
      </c>
      <c r="H136" t="s">
        <v>94</v>
      </c>
      <c r="I136" s="3">
        <v>0.54410000000000003</v>
      </c>
      <c r="J136">
        <v>41</v>
      </c>
    </row>
    <row r="137" spans="1:10">
      <c r="A137">
        <v>1</v>
      </c>
      <c r="B137" t="s">
        <v>8</v>
      </c>
      <c r="C137" t="str">
        <f t="shared" si="2"/>
        <v>Y1Q3</v>
      </c>
      <c r="D137" t="s">
        <v>53</v>
      </c>
      <c r="E137" t="s">
        <v>23</v>
      </c>
      <c r="F137" t="s">
        <v>54</v>
      </c>
      <c r="G137" t="s">
        <v>79</v>
      </c>
      <c r="H137" t="s">
        <v>95</v>
      </c>
      <c r="I137" s="3">
        <v>0.29870000000000002</v>
      </c>
      <c r="J137">
        <v>23</v>
      </c>
    </row>
    <row r="138" spans="1:10">
      <c r="A138">
        <v>1</v>
      </c>
      <c r="B138" t="s">
        <v>8</v>
      </c>
      <c r="C138" t="str">
        <f t="shared" si="2"/>
        <v>Y1Q3</v>
      </c>
      <c r="D138" t="s">
        <v>53</v>
      </c>
      <c r="E138" t="s">
        <v>23</v>
      </c>
      <c r="F138" t="s">
        <v>54</v>
      </c>
      <c r="G138" t="s">
        <v>67</v>
      </c>
      <c r="H138" t="s">
        <v>96</v>
      </c>
      <c r="I138" s="3">
        <v>0.15720000000000001</v>
      </c>
      <c r="J138">
        <v>12</v>
      </c>
    </row>
    <row r="139" spans="1:10">
      <c r="A139">
        <v>1</v>
      </c>
      <c r="B139" t="s">
        <v>8</v>
      </c>
      <c r="C139" t="str">
        <f t="shared" si="2"/>
        <v>Y1Q3</v>
      </c>
      <c r="D139" t="s">
        <v>56</v>
      </c>
      <c r="E139" t="s">
        <v>23</v>
      </c>
      <c r="F139" t="s">
        <v>50</v>
      </c>
      <c r="G139" t="s">
        <v>79</v>
      </c>
      <c r="H139" t="s">
        <v>91</v>
      </c>
      <c r="I139" s="3">
        <v>0.50849999999999995</v>
      </c>
      <c r="J139">
        <v>29</v>
      </c>
    </row>
    <row r="140" spans="1:10">
      <c r="A140">
        <v>1</v>
      </c>
      <c r="B140" t="s">
        <v>8</v>
      </c>
      <c r="C140" t="str">
        <f t="shared" si="2"/>
        <v>Y1Q3</v>
      </c>
      <c r="D140" t="s">
        <v>56</v>
      </c>
      <c r="E140" t="s">
        <v>23</v>
      </c>
      <c r="F140" t="s">
        <v>50</v>
      </c>
      <c r="G140" t="s">
        <v>73</v>
      </c>
      <c r="H140" t="s">
        <v>92</v>
      </c>
      <c r="I140" s="3">
        <v>0.38790000000000002</v>
      </c>
      <c r="J140">
        <v>22</v>
      </c>
    </row>
    <row r="141" spans="1:10">
      <c r="A141">
        <v>1</v>
      </c>
      <c r="B141" t="s">
        <v>8</v>
      </c>
      <c r="C141" t="str">
        <f t="shared" si="2"/>
        <v>Y1Q3</v>
      </c>
      <c r="D141" t="s">
        <v>56</v>
      </c>
      <c r="E141" t="s">
        <v>23</v>
      </c>
      <c r="F141" t="s">
        <v>50</v>
      </c>
      <c r="G141" t="s">
        <v>71</v>
      </c>
      <c r="H141" t="s">
        <v>93</v>
      </c>
      <c r="I141" s="3">
        <v>0.1036</v>
      </c>
      <c r="J141">
        <v>6</v>
      </c>
    </row>
    <row r="142" spans="1:10">
      <c r="A142">
        <v>1</v>
      </c>
      <c r="B142" t="s">
        <v>8</v>
      </c>
      <c r="C142" t="str">
        <f t="shared" si="2"/>
        <v>Y1Q3</v>
      </c>
      <c r="D142" t="s">
        <v>57</v>
      </c>
      <c r="E142" t="s">
        <v>23</v>
      </c>
      <c r="F142" t="s">
        <v>43</v>
      </c>
      <c r="G142" t="s">
        <v>79</v>
      </c>
      <c r="H142" t="s">
        <v>84</v>
      </c>
      <c r="I142" s="3">
        <v>0.69110000000000005</v>
      </c>
      <c r="J142">
        <v>29</v>
      </c>
    </row>
    <row r="143" spans="1:10">
      <c r="A143">
        <v>1</v>
      </c>
      <c r="B143" t="s">
        <v>8</v>
      </c>
      <c r="C143" t="str">
        <f t="shared" si="2"/>
        <v>Y1Q3</v>
      </c>
      <c r="D143" t="s">
        <v>57</v>
      </c>
      <c r="E143" t="s">
        <v>23</v>
      </c>
      <c r="F143" t="s">
        <v>43</v>
      </c>
      <c r="G143" t="s">
        <v>69</v>
      </c>
      <c r="H143" t="s">
        <v>85</v>
      </c>
      <c r="I143" s="3">
        <v>0.19989999999999999</v>
      </c>
      <c r="J143">
        <v>8</v>
      </c>
    </row>
    <row r="144" spans="1:10">
      <c r="A144">
        <v>1</v>
      </c>
      <c r="B144" t="s">
        <v>8</v>
      </c>
      <c r="C144" t="str">
        <f t="shared" si="2"/>
        <v>Y1Q3</v>
      </c>
      <c r="D144" t="s">
        <v>57</v>
      </c>
      <c r="E144" t="s">
        <v>23</v>
      </c>
      <c r="F144" t="s">
        <v>43</v>
      </c>
      <c r="G144" t="s">
        <v>71</v>
      </c>
      <c r="H144" t="s">
        <v>86</v>
      </c>
      <c r="I144" s="3">
        <v>0.109</v>
      </c>
      <c r="J144">
        <v>5</v>
      </c>
    </row>
    <row r="145" spans="1:10">
      <c r="A145">
        <v>1</v>
      </c>
      <c r="B145" t="s">
        <v>8</v>
      </c>
      <c r="C145" t="str">
        <f t="shared" si="2"/>
        <v>Y1Q3</v>
      </c>
      <c r="D145" t="s">
        <v>58</v>
      </c>
      <c r="E145" t="s">
        <v>26</v>
      </c>
      <c r="F145" t="s">
        <v>46</v>
      </c>
      <c r="G145" t="s">
        <v>69</v>
      </c>
      <c r="H145" t="s">
        <v>87</v>
      </c>
      <c r="I145" s="3">
        <v>0.4254</v>
      </c>
      <c r="J145">
        <v>43</v>
      </c>
    </row>
    <row r="146" spans="1:10">
      <c r="A146">
        <v>1</v>
      </c>
      <c r="B146" t="s">
        <v>8</v>
      </c>
      <c r="C146" t="str">
        <f t="shared" si="2"/>
        <v>Y1Q3</v>
      </c>
      <c r="D146" t="s">
        <v>58</v>
      </c>
      <c r="E146" t="s">
        <v>26</v>
      </c>
      <c r="F146" t="s">
        <v>46</v>
      </c>
      <c r="G146" t="s">
        <v>67</v>
      </c>
      <c r="H146" t="s">
        <v>89</v>
      </c>
      <c r="I146" s="3">
        <v>0.28960000000000002</v>
      </c>
      <c r="J146">
        <v>30</v>
      </c>
    </row>
    <row r="147" spans="1:10">
      <c r="A147">
        <v>1</v>
      </c>
      <c r="B147" t="s">
        <v>8</v>
      </c>
      <c r="C147" t="str">
        <f t="shared" si="2"/>
        <v>Y1Q3</v>
      </c>
      <c r="D147" t="s">
        <v>58</v>
      </c>
      <c r="E147" t="s">
        <v>26</v>
      </c>
      <c r="F147" t="s">
        <v>46</v>
      </c>
      <c r="G147" t="s">
        <v>79</v>
      </c>
      <c r="H147" t="s">
        <v>88</v>
      </c>
      <c r="I147" s="3">
        <v>0.1971</v>
      </c>
      <c r="J147">
        <v>20</v>
      </c>
    </row>
    <row r="148" spans="1:10">
      <c r="A148">
        <v>1</v>
      </c>
      <c r="B148" t="s">
        <v>8</v>
      </c>
      <c r="C148" t="str">
        <f t="shared" si="2"/>
        <v>Y1Q3</v>
      </c>
      <c r="D148" t="s">
        <v>58</v>
      </c>
      <c r="E148" t="s">
        <v>26</v>
      </c>
      <c r="F148" t="s">
        <v>46</v>
      </c>
      <c r="G148" t="s">
        <v>71</v>
      </c>
      <c r="H148" t="s">
        <v>90</v>
      </c>
      <c r="I148" s="3">
        <v>8.7900000000000006E-2</v>
      </c>
      <c r="J148">
        <v>9</v>
      </c>
    </row>
    <row r="149" spans="1:10">
      <c r="A149">
        <v>1</v>
      </c>
      <c r="B149" t="s">
        <v>8</v>
      </c>
      <c r="C149" t="str">
        <f t="shared" si="2"/>
        <v>Y1Q3</v>
      </c>
      <c r="D149" t="s">
        <v>59</v>
      </c>
      <c r="E149" t="s">
        <v>26</v>
      </c>
      <c r="F149" t="s">
        <v>54</v>
      </c>
      <c r="G149" t="s">
        <v>73</v>
      </c>
      <c r="H149" t="s">
        <v>94</v>
      </c>
      <c r="I149" s="3">
        <v>0.44419999999999998</v>
      </c>
      <c r="J149">
        <v>30</v>
      </c>
    </row>
    <row r="150" spans="1:10">
      <c r="A150">
        <v>1</v>
      </c>
      <c r="B150" t="s">
        <v>8</v>
      </c>
      <c r="C150" t="str">
        <f t="shared" si="2"/>
        <v>Y1Q3</v>
      </c>
      <c r="D150" t="s">
        <v>59</v>
      </c>
      <c r="E150" t="s">
        <v>26</v>
      </c>
      <c r="F150" t="s">
        <v>54</v>
      </c>
      <c r="G150" t="s">
        <v>79</v>
      </c>
      <c r="H150" t="s">
        <v>95</v>
      </c>
      <c r="I150" s="3">
        <v>0.32879999999999998</v>
      </c>
      <c r="J150">
        <v>22</v>
      </c>
    </row>
    <row r="151" spans="1:10">
      <c r="A151">
        <v>1</v>
      </c>
      <c r="B151" t="s">
        <v>8</v>
      </c>
      <c r="C151" t="str">
        <f t="shared" si="2"/>
        <v>Y1Q3</v>
      </c>
      <c r="D151" t="s">
        <v>59</v>
      </c>
      <c r="E151" t="s">
        <v>26</v>
      </c>
      <c r="F151" t="s">
        <v>54</v>
      </c>
      <c r="G151" t="s">
        <v>67</v>
      </c>
      <c r="H151" t="s">
        <v>96</v>
      </c>
      <c r="I151" s="3">
        <v>0.22700000000000001</v>
      </c>
      <c r="J151">
        <v>16</v>
      </c>
    </row>
    <row r="152" spans="1:10">
      <c r="A152">
        <v>1</v>
      </c>
      <c r="B152" t="s">
        <v>9</v>
      </c>
      <c r="C152" t="str">
        <f t="shared" si="2"/>
        <v>Y1Q4</v>
      </c>
      <c r="D152" t="s">
        <v>32</v>
      </c>
      <c r="E152" t="s">
        <v>14</v>
      </c>
      <c r="F152" t="s">
        <v>33</v>
      </c>
      <c r="G152" t="s">
        <v>67</v>
      </c>
      <c r="H152" t="s">
        <v>68</v>
      </c>
      <c r="I152" s="3">
        <v>0.41449999999999998</v>
      </c>
      <c r="J152">
        <v>65</v>
      </c>
    </row>
    <row r="153" spans="1:10">
      <c r="A153">
        <v>1</v>
      </c>
      <c r="B153" t="s">
        <v>9</v>
      </c>
      <c r="C153" t="str">
        <f t="shared" si="2"/>
        <v>Y1Q4</v>
      </c>
      <c r="D153" t="s">
        <v>32</v>
      </c>
      <c r="E153" t="s">
        <v>14</v>
      </c>
      <c r="F153" t="s">
        <v>33</v>
      </c>
      <c r="G153" t="s">
        <v>69</v>
      </c>
      <c r="H153" t="s">
        <v>70</v>
      </c>
      <c r="I153" s="3">
        <v>0.24990000000000001</v>
      </c>
      <c r="J153">
        <v>39</v>
      </c>
    </row>
    <row r="154" spans="1:10">
      <c r="A154">
        <v>1</v>
      </c>
      <c r="B154" t="s">
        <v>9</v>
      </c>
      <c r="C154" t="str">
        <f t="shared" si="2"/>
        <v>Y1Q4</v>
      </c>
      <c r="D154" t="s">
        <v>32</v>
      </c>
      <c r="E154" t="s">
        <v>14</v>
      </c>
      <c r="F154" t="s">
        <v>33</v>
      </c>
      <c r="G154" t="s">
        <v>71</v>
      </c>
      <c r="H154" t="s">
        <v>72</v>
      </c>
      <c r="I154" s="3">
        <v>0.21609999999999999</v>
      </c>
      <c r="J154">
        <v>34</v>
      </c>
    </row>
    <row r="155" spans="1:10">
      <c r="A155">
        <v>1</v>
      </c>
      <c r="B155" t="s">
        <v>9</v>
      </c>
      <c r="C155" t="str">
        <f t="shared" si="2"/>
        <v>Y1Q4</v>
      </c>
      <c r="D155" t="s">
        <v>32</v>
      </c>
      <c r="E155" t="s">
        <v>14</v>
      </c>
      <c r="F155" t="s">
        <v>33</v>
      </c>
      <c r="G155" t="s">
        <v>73</v>
      </c>
      <c r="H155" t="s">
        <v>74</v>
      </c>
      <c r="I155" s="3">
        <v>0.1195</v>
      </c>
      <c r="J155">
        <v>19</v>
      </c>
    </row>
    <row r="156" spans="1:10">
      <c r="A156">
        <v>1</v>
      </c>
      <c r="B156" t="s">
        <v>9</v>
      </c>
      <c r="C156" t="str">
        <f t="shared" si="2"/>
        <v>Y1Q4</v>
      </c>
      <c r="D156" t="s">
        <v>35</v>
      </c>
      <c r="E156" t="s">
        <v>14</v>
      </c>
      <c r="F156" t="s">
        <v>36</v>
      </c>
      <c r="G156" t="s">
        <v>69</v>
      </c>
      <c r="H156" t="s">
        <v>75</v>
      </c>
      <c r="I156" s="3">
        <v>0.54990000000000006</v>
      </c>
      <c r="J156">
        <v>46</v>
      </c>
    </row>
    <row r="157" spans="1:10">
      <c r="A157">
        <v>1</v>
      </c>
      <c r="B157" t="s">
        <v>9</v>
      </c>
      <c r="C157" t="str">
        <f t="shared" si="2"/>
        <v>Y1Q4</v>
      </c>
      <c r="D157" t="s">
        <v>35</v>
      </c>
      <c r="E157" t="s">
        <v>14</v>
      </c>
      <c r="F157" t="s">
        <v>36</v>
      </c>
      <c r="G157" t="s">
        <v>67</v>
      </c>
      <c r="H157" t="s">
        <v>76</v>
      </c>
      <c r="I157" s="3">
        <v>0.31659999999999999</v>
      </c>
      <c r="J157">
        <v>27</v>
      </c>
    </row>
    <row r="158" spans="1:10">
      <c r="A158">
        <v>1</v>
      </c>
      <c r="B158" t="s">
        <v>9</v>
      </c>
      <c r="C158" t="str">
        <f t="shared" si="2"/>
        <v>Y1Q4</v>
      </c>
      <c r="D158" t="s">
        <v>35</v>
      </c>
      <c r="E158" t="s">
        <v>14</v>
      </c>
      <c r="F158" t="s">
        <v>36</v>
      </c>
      <c r="G158" t="s">
        <v>73</v>
      </c>
      <c r="H158" t="s">
        <v>77</v>
      </c>
      <c r="I158" s="3">
        <v>0.13350000000000001</v>
      </c>
      <c r="J158">
        <v>11</v>
      </c>
    </row>
    <row r="159" spans="1:10">
      <c r="A159">
        <v>1</v>
      </c>
      <c r="B159" t="s">
        <v>9</v>
      </c>
      <c r="C159" t="str">
        <f t="shared" si="2"/>
        <v>Y1Q4</v>
      </c>
      <c r="D159" t="s">
        <v>38</v>
      </c>
      <c r="E159" t="s">
        <v>17</v>
      </c>
      <c r="F159" t="s">
        <v>39</v>
      </c>
      <c r="G159" t="s">
        <v>71</v>
      </c>
      <c r="H159" t="s">
        <v>78</v>
      </c>
      <c r="I159" s="3">
        <v>0.37530000000000002</v>
      </c>
      <c r="J159">
        <v>94</v>
      </c>
    </row>
    <row r="160" spans="1:10">
      <c r="A160">
        <v>1</v>
      </c>
      <c r="B160" t="s">
        <v>9</v>
      </c>
      <c r="C160" t="str">
        <f t="shared" si="2"/>
        <v>Y1Q4</v>
      </c>
      <c r="D160" t="s">
        <v>38</v>
      </c>
      <c r="E160" t="s">
        <v>17</v>
      </c>
      <c r="F160" t="s">
        <v>39</v>
      </c>
      <c r="G160" t="s">
        <v>79</v>
      </c>
      <c r="H160" t="s">
        <v>80</v>
      </c>
      <c r="I160" s="3">
        <v>0.2366</v>
      </c>
      <c r="J160">
        <v>59</v>
      </c>
    </row>
    <row r="161" spans="1:10">
      <c r="A161">
        <v>1</v>
      </c>
      <c r="B161" t="s">
        <v>9</v>
      </c>
      <c r="C161" t="str">
        <f t="shared" si="2"/>
        <v>Y1Q4</v>
      </c>
      <c r="D161" t="s">
        <v>38</v>
      </c>
      <c r="E161" t="s">
        <v>17</v>
      </c>
      <c r="F161" t="s">
        <v>39</v>
      </c>
      <c r="G161" t="s">
        <v>67</v>
      </c>
      <c r="H161" t="s">
        <v>81</v>
      </c>
      <c r="I161" s="3">
        <v>0.15759999999999999</v>
      </c>
      <c r="J161">
        <v>39</v>
      </c>
    </row>
    <row r="162" spans="1:10">
      <c r="A162">
        <v>1</v>
      </c>
      <c r="B162" t="s">
        <v>9</v>
      </c>
      <c r="C162" t="str">
        <f t="shared" si="2"/>
        <v>Y1Q4</v>
      </c>
      <c r="D162" t="s">
        <v>38</v>
      </c>
      <c r="E162" t="s">
        <v>17</v>
      </c>
      <c r="F162" t="s">
        <v>39</v>
      </c>
      <c r="G162" t="s">
        <v>69</v>
      </c>
      <c r="H162" t="s">
        <v>82</v>
      </c>
      <c r="I162" s="3">
        <v>0.14630000000000001</v>
      </c>
      <c r="J162">
        <v>37</v>
      </c>
    </row>
    <row r="163" spans="1:10">
      <c r="A163">
        <v>1</v>
      </c>
      <c r="B163" t="s">
        <v>9</v>
      </c>
      <c r="C163" t="str">
        <f t="shared" si="2"/>
        <v>Y1Q4</v>
      </c>
      <c r="D163" t="s">
        <v>38</v>
      </c>
      <c r="E163" t="s">
        <v>17</v>
      </c>
      <c r="F163" t="s">
        <v>39</v>
      </c>
      <c r="G163" t="s">
        <v>73</v>
      </c>
      <c r="H163" t="s">
        <v>83</v>
      </c>
      <c r="I163" s="3">
        <v>8.4099999999999994E-2</v>
      </c>
      <c r="J163">
        <v>21</v>
      </c>
    </row>
    <row r="164" spans="1:10">
      <c r="A164">
        <v>1</v>
      </c>
      <c r="B164" t="s">
        <v>9</v>
      </c>
      <c r="C164" t="str">
        <f t="shared" si="2"/>
        <v>Y1Q4</v>
      </c>
      <c r="D164" t="s">
        <v>41</v>
      </c>
      <c r="E164" t="s">
        <v>17</v>
      </c>
      <c r="F164" t="s">
        <v>33</v>
      </c>
      <c r="G164" t="s">
        <v>67</v>
      </c>
      <c r="H164" t="s">
        <v>68</v>
      </c>
      <c r="I164" s="3">
        <v>0.34129999999999999</v>
      </c>
      <c r="J164">
        <v>38</v>
      </c>
    </row>
    <row r="165" spans="1:10">
      <c r="A165">
        <v>1</v>
      </c>
      <c r="B165" t="s">
        <v>9</v>
      </c>
      <c r="C165" t="str">
        <f t="shared" si="2"/>
        <v>Y1Q4</v>
      </c>
      <c r="D165" t="s">
        <v>41</v>
      </c>
      <c r="E165" t="s">
        <v>17</v>
      </c>
      <c r="F165" t="s">
        <v>33</v>
      </c>
      <c r="G165" t="s">
        <v>69</v>
      </c>
      <c r="H165" t="s">
        <v>70</v>
      </c>
      <c r="I165" s="3">
        <v>0.28789999999999999</v>
      </c>
      <c r="J165">
        <v>32</v>
      </c>
    </row>
    <row r="166" spans="1:10">
      <c r="A166">
        <v>1</v>
      </c>
      <c r="B166" t="s">
        <v>9</v>
      </c>
      <c r="C166" t="str">
        <f t="shared" si="2"/>
        <v>Y1Q4</v>
      </c>
      <c r="D166" t="s">
        <v>41</v>
      </c>
      <c r="E166" t="s">
        <v>17</v>
      </c>
      <c r="F166" t="s">
        <v>33</v>
      </c>
      <c r="G166" t="s">
        <v>71</v>
      </c>
      <c r="H166" t="s">
        <v>72</v>
      </c>
      <c r="I166" s="3">
        <v>0.21879999999999999</v>
      </c>
      <c r="J166">
        <v>25</v>
      </c>
    </row>
    <row r="167" spans="1:10">
      <c r="A167">
        <v>1</v>
      </c>
      <c r="B167" t="s">
        <v>9</v>
      </c>
      <c r="C167" t="str">
        <f t="shared" si="2"/>
        <v>Y1Q4</v>
      </c>
      <c r="D167" t="s">
        <v>41</v>
      </c>
      <c r="E167" t="s">
        <v>17</v>
      </c>
      <c r="F167" t="s">
        <v>33</v>
      </c>
      <c r="G167" t="s">
        <v>73</v>
      </c>
      <c r="H167" t="s">
        <v>74</v>
      </c>
      <c r="I167" s="3">
        <v>0.152</v>
      </c>
      <c r="J167">
        <v>17</v>
      </c>
    </row>
    <row r="168" spans="1:10">
      <c r="A168">
        <v>1</v>
      </c>
      <c r="B168" t="s">
        <v>9</v>
      </c>
      <c r="C168" t="str">
        <f t="shared" si="2"/>
        <v>Y1Q4</v>
      </c>
      <c r="D168" t="s">
        <v>42</v>
      </c>
      <c r="E168" t="s">
        <v>17</v>
      </c>
      <c r="F168" t="s">
        <v>43</v>
      </c>
      <c r="G168" t="s">
        <v>79</v>
      </c>
      <c r="H168" t="s">
        <v>84</v>
      </c>
      <c r="I168" s="3">
        <v>0.61150000000000004</v>
      </c>
      <c r="J168">
        <v>73</v>
      </c>
    </row>
    <row r="169" spans="1:10">
      <c r="A169">
        <v>1</v>
      </c>
      <c r="B169" t="s">
        <v>9</v>
      </c>
      <c r="C169" t="str">
        <f t="shared" si="2"/>
        <v>Y1Q4</v>
      </c>
      <c r="D169" t="s">
        <v>42</v>
      </c>
      <c r="E169" t="s">
        <v>17</v>
      </c>
      <c r="F169" t="s">
        <v>43</v>
      </c>
      <c r="G169" t="s">
        <v>69</v>
      </c>
      <c r="H169" t="s">
        <v>85</v>
      </c>
      <c r="I169" s="3">
        <v>0.2366</v>
      </c>
      <c r="J169">
        <v>28</v>
      </c>
    </row>
    <row r="170" spans="1:10">
      <c r="A170">
        <v>1</v>
      </c>
      <c r="B170" t="s">
        <v>9</v>
      </c>
      <c r="C170" t="str">
        <f t="shared" si="2"/>
        <v>Y1Q4</v>
      </c>
      <c r="D170" t="s">
        <v>42</v>
      </c>
      <c r="E170" t="s">
        <v>17</v>
      </c>
      <c r="F170" t="s">
        <v>43</v>
      </c>
      <c r="G170" t="s">
        <v>71</v>
      </c>
      <c r="H170" t="s">
        <v>86</v>
      </c>
      <c r="I170" s="3">
        <v>0.15190000000000001</v>
      </c>
      <c r="J170">
        <v>19</v>
      </c>
    </row>
    <row r="171" spans="1:10">
      <c r="A171">
        <v>1</v>
      </c>
      <c r="B171" t="s">
        <v>9</v>
      </c>
      <c r="C171" t="str">
        <f t="shared" si="2"/>
        <v>Y1Q4</v>
      </c>
      <c r="D171" t="s">
        <v>45</v>
      </c>
      <c r="E171" t="s">
        <v>20</v>
      </c>
      <c r="F171" t="s">
        <v>46</v>
      </c>
      <c r="G171" t="s">
        <v>69</v>
      </c>
      <c r="H171" t="s">
        <v>87</v>
      </c>
      <c r="I171" s="3">
        <v>0.3347</v>
      </c>
      <c r="J171">
        <v>41</v>
      </c>
    </row>
    <row r="172" spans="1:10">
      <c r="A172">
        <v>1</v>
      </c>
      <c r="B172" t="s">
        <v>9</v>
      </c>
      <c r="C172" t="str">
        <f t="shared" si="2"/>
        <v>Y1Q4</v>
      </c>
      <c r="D172" t="s">
        <v>45</v>
      </c>
      <c r="E172" t="s">
        <v>20</v>
      </c>
      <c r="F172" t="s">
        <v>46</v>
      </c>
      <c r="G172" t="s">
        <v>79</v>
      </c>
      <c r="H172" t="s">
        <v>88</v>
      </c>
      <c r="I172" s="3">
        <v>0.30459999999999998</v>
      </c>
      <c r="J172">
        <v>37</v>
      </c>
    </row>
    <row r="173" spans="1:10">
      <c r="A173">
        <v>1</v>
      </c>
      <c r="B173" t="s">
        <v>9</v>
      </c>
      <c r="C173" t="str">
        <f t="shared" si="2"/>
        <v>Y1Q4</v>
      </c>
      <c r="D173" t="s">
        <v>45</v>
      </c>
      <c r="E173" t="s">
        <v>20</v>
      </c>
      <c r="F173" t="s">
        <v>46</v>
      </c>
      <c r="G173" t="s">
        <v>67</v>
      </c>
      <c r="H173" t="s">
        <v>89</v>
      </c>
      <c r="I173" s="3">
        <v>0.24349999999999999</v>
      </c>
      <c r="J173">
        <v>30</v>
      </c>
    </row>
    <row r="174" spans="1:10">
      <c r="A174">
        <v>1</v>
      </c>
      <c r="B174" t="s">
        <v>9</v>
      </c>
      <c r="C174" t="str">
        <f t="shared" si="2"/>
        <v>Y1Q4</v>
      </c>
      <c r="D174" t="s">
        <v>45</v>
      </c>
      <c r="E174" t="s">
        <v>20</v>
      </c>
      <c r="F174" t="s">
        <v>46</v>
      </c>
      <c r="G174" t="s">
        <v>71</v>
      </c>
      <c r="H174" t="s">
        <v>90</v>
      </c>
      <c r="I174" s="3">
        <v>0.1172</v>
      </c>
      <c r="J174">
        <v>15</v>
      </c>
    </row>
    <row r="175" spans="1:10">
      <c r="A175">
        <v>1</v>
      </c>
      <c r="B175" t="s">
        <v>9</v>
      </c>
      <c r="C175" t="str">
        <f t="shared" si="2"/>
        <v>Y1Q4</v>
      </c>
      <c r="D175" t="s">
        <v>48</v>
      </c>
      <c r="E175" t="s">
        <v>20</v>
      </c>
      <c r="F175" t="s">
        <v>36</v>
      </c>
      <c r="G175" t="s">
        <v>69</v>
      </c>
      <c r="H175" t="s">
        <v>75</v>
      </c>
      <c r="I175" s="3">
        <v>0.59550000000000003</v>
      </c>
      <c r="J175">
        <v>51</v>
      </c>
    </row>
    <row r="176" spans="1:10">
      <c r="A176">
        <v>1</v>
      </c>
      <c r="B176" t="s">
        <v>9</v>
      </c>
      <c r="C176" t="str">
        <f t="shared" si="2"/>
        <v>Y1Q4</v>
      </c>
      <c r="D176" t="s">
        <v>48</v>
      </c>
      <c r="E176" t="s">
        <v>20</v>
      </c>
      <c r="F176" t="s">
        <v>36</v>
      </c>
      <c r="G176" t="s">
        <v>67</v>
      </c>
      <c r="H176" t="s">
        <v>76</v>
      </c>
      <c r="I176" s="3">
        <v>0.29370000000000002</v>
      </c>
      <c r="J176">
        <v>25</v>
      </c>
    </row>
    <row r="177" spans="1:10">
      <c r="A177">
        <v>1</v>
      </c>
      <c r="B177" t="s">
        <v>9</v>
      </c>
      <c r="C177" t="str">
        <f t="shared" si="2"/>
        <v>Y1Q4</v>
      </c>
      <c r="D177" t="s">
        <v>48</v>
      </c>
      <c r="E177" t="s">
        <v>20</v>
      </c>
      <c r="F177" t="s">
        <v>36</v>
      </c>
      <c r="G177" t="s">
        <v>73</v>
      </c>
      <c r="H177" t="s">
        <v>77</v>
      </c>
      <c r="I177" s="3">
        <v>0.1108</v>
      </c>
      <c r="J177">
        <v>10</v>
      </c>
    </row>
    <row r="178" spans="1:10">
      <c r="A178">
        <v>1</v>
      </c>
      <c r="B178" t="s">
        <v>9</v>
      </c>
      <c r="C178" t="str">
        <f t="shared" si="2"/>
        <v>Y1Q4</v>
      </c>
      <c r="D178" t="s">
        <v>49</v>
      </c>
      <c r="E178" t="s">
        <v>20</v>
      </c>
      <c r="F178" t="s">
        <v>50</v>
      </c>
      <c r="G178" t="s">
        <v>79</v>
      </c>
      <c r="H178" t="s">
        <v>91</v>
      </c>
      <c r="I178" s="3">
        <v>0.56520000000000004</v>
      </c>
      <c r="J178">
        <v>47</v>
      </c>
    </row>
    <row r="179" spans="1:10">
      <c r="A179">
        <v>1</v>
      </c>
      <c r="B179" t="s">
        <v>9</v>
      </c>
      <c r="C179" t="str">
        <f t="shared" si="2"/>
        <v>Y1Q4</v>
      </c>
      <c r="D179" t="s">
        <v>49</v>
      </c>
      <c r="E179" t="s">
        <v>20</v>
      </c>
      <c r="F179" t="s">
        <v>50</v>
      </c>
      <c r="G179" t="s">
        <v>73</v>
      </c>
      <c r="H179" t="s">
        <v>92</v>
      </c>
      <c r="I179" s="3">
        <v>0.28770000000000001</v>
      </c>
      <c r="J179">
        <v>24</v>
      </c>
    </row>
    <row r="180" spans="1:10">
      <c r="A180">
        <v>1</v>
      </c>
      <c r="B180" t="s">
        <v>9</v>
      </c>
      <c r="C180" t="str">
        <f t="shared" si="2"/>
        <v>Y1Q4</v>
      </c>
      <c r="D180" t="s">
        <v>49</v>
      </c>
      <c r="E180" t="s">
        <v>20</v>
      </c>
      <c r="F180" t="s">
        <v>50</v>
      </c>
      <c r="G180" t="s">
        <v>71</v>
      </c>
      <c r="H180" t="s">
        <v>93</v>
      </c>
      <c r="I180" s="3">
        <v>0.1472</v>
      </c>
      <c r="J180">
        <v>12</v>
      </c>
    </row>
    <row r="181" spans="1:10">
      <c r="A181">
        <v>1</v>
      </c>
      <c r="B181" t="s">
        <v>9</v>
      </c>
      <c r="C181" t="str">
        <f t="shared" si="2"/>
        <v>Y1Q4</v>
      </c>
      <c r="D181" t="s">
        <v>52</v>
      </c>
      <c r="E181" t="s">
        <v>23</v>
      </c>
      <c r="F181" t="s">
        <v>39</v>
      </c>
      <c r="G181" t="s">
        <v>71</v>
      </c>
      <c r="H181" t="s">
        <v>78</v>
      </c>
      <c r="I181" s="3">
        <v>0.3266</v>
      </c>
      <c r="J181">
        <v>23</v>
      </c>
    </row>
    <row r="182" spans="1:10">
      <c r="A182">
        <v>1</v>
      </c>
      <c r="B182" t="s">
        <v>9</v>
      </c>
      <c r="C182" t="str">
        <f t="shared" si="2"/>
        <v>Y1Q4</v>
      </c>
      <c r="D182" t="s">
        <v>52</v>
      </c>
      <c r="E182" t="s">
        <v>23</v>
      </c>
      <c r="F182" t="s">
        <v>39</v>
      </c>
      <c r="G182" t="s">
        <v>79</v>
      </c>
      <c r="H182" t="s">
        <v>80</v>
      </c>
      <c r="I182" s="3">
        <v>0.2356</v>
      </c>
      <c r="J182">
        <v>17</v>
      </c>
    </row>
    <row r="183" spans="1:10">
      <c r="A183">
        <v>1</v>
      </c>
      <c r="B183" t="s">
        <v>9</v>
      </c>
      <c r="C183" t="str">
        <f t="shared" si="2"/>
        <v>Y1Q4</v>
      </c>
      <c r="D183" t="s">
        <v>52</v>
      </c>
      <c r="E183" t="s">
        <v>23</v>
      </c>
      <c r="F183" t="s">
        <v>39</v>
      </c>
      <c r="G183" t="s">
        <v>73</v>
      </c>
      <c r="H183" t="s">
        <v>83</v>
      </c>
      <c r="I183" s="3">
        <v>0.1981</v>
      </c>
      <c r="J183">
        <v>14</v>
      </c>
    </row>
    <row r="184" spans="1:10">
      <c r="A184">
        <v>1</v>
      </c>
      <c r="B184" t="s">
        <v>9</v>
      </c>
      <c r="C184" t="str">
        <f t="shared" si="2"/>
        <v>Y1Q4</v>
      </c>
      <c r="D184" t="s">
        <v>52</v>
      </c>
      <c r="E184" t="s">
        <v>23</v>
      </c>
      <c r="F184" t="s">
        <v>39</v>
      </c>
      <c r="G184" t="s">
        <v>67</v>
      </c>
      <c r="H184" t="s">
        <v>81</v>
      </c>
      <c r="I184" s="3">
        <v>0.125</v>
      </c>
      <c r="J184">
        <v>9</v>
      </c>
    </row>
    <row r="185" spans="1:10">
      <c r="A185">
        <v>1</v>
      </c>
      <c r="B185" t="s">
        <v>9</v>
      </c>
      <c r="C185" t="str">
        <f t="shared" si="2"/>
        <v>Y1Q4</v>
      </c>
      <c r="D185" t="s">
        <v>52</v>
      </c>
      <c r="E185" t="s">
        <v>23</v>
      </c>
      <c r="F185" t="s">
        <v>39</v>
      </c>
      <c r="G185" t="s">
        <v>69</v>
      </c>
      <c r="H185" t="s">
        <v>82</v>
      </c>
      <c r="I185" s="3">
        <v>0.1147</v>
      </c>
      <c r="J185">
        <v>8</v>
      </c>
    </row>
    <row r="186" spans="1:10">
      <c r="A186">
        <v>1</v>
      </c>
      <c r="B186" t="s">
        <v>9</v>
      </c>
      <c r="C186" t="str">
        <f t="shared" si="2"/>
        <v>Y1Q4</v>
      </c>
      <c r="D186" t="s">
        <v>53</v>
      </c>
      <c r="E186" t="s">
        <v>23</v>
      </c>
      <c r="F186" t="s">
        <v>54</v>
      </c>
      <c r="G186" t="s">
        <v>73</v>
      </c>
      <c r="H186" t="s">
        <v>94</v>
      </c>
      <c r="I186" s="3">
        <v>0.55000000000000004</v>
      </c>
      <c r="J186">
        <v>41</v>
      </c>
    </row>
    <row r="187" spans="1:10">
      <c r="A187">
        <v>1</v>
      </c>
      <c r="B187" t="s">
        <v>9</v>
      </c>
      <c r="C187" t="str">
        <f t="shared" si="2"/>
        <v>Y1Q4</v>
      </c>
      <c r="D187" t="s">
        <v>53</v>
      </c>
      <c r="E187" t="s">
        <v>23</v>
      </c>
      <c r="F187" t="s">
        <v>54</v>
      </c>
      <c r="G187" t="s">
        <v>79</v>
      </c>
      <c r="H187" t="s">
        <v>95</v>
      </c>
      <c r="I187" s="3">
        <v>0.27529999999999999</v>
      </c>
      <c r="J187">
        <v>21</v>
      </c>
    </row>
    <row r="188" spans="1:10">
      <c r="A188">
        <v>1</v>
      </c>
      <c r="B188" t="s">
        <v>9</v>
      </c>
      <c r="C188" t="str">
        <f t="shared" si="2"/>
        <v>Y1Q4</v>
      </c>
      <c r="D188" t="s">
        <v>53</v>
      </c>
      <c r="E188" t="s">
        <v>23</v>
      </c>
      <c r="F188" t="s">
        <v>54</v>
      </c>
      <c r="G188" t="s">
        <v>67</v>
      </c>
      <c r="H188" t="s">
        <v>96</v>
      </c>
      <c r="I188" s="3">
        <v>0.17460000000000001</v>
      </c>
      <c r="J188">
        <v>13</v>
      </c>
    </row>
    <row r="189" spans="1:10">
      <c r="A189">
        <v>1</v>
      </c>
      <c r="B189" t="s">
        <v>9</v>
      </c>
      <c r="C189" t="str">
        <f t="shared" si="2"/>
        <v>Y1Q4</v>
      </c>
      <c r="D189" t="s">
        <v>56</v>
      </c>
      <c r="E189" t="s">
        <v>23</v>
      </c>
      <c r="F189" t="s">
        <v>50</v>
      </c>
      <c r="G189" t="s">
        <v>79</v>
      </c>
      <c r="H189" t="s">
        <v>91</v>
      </c>
      <c r="I189" s="3">
        <v>0.4955</v>
      </c>
      <c r="J189">
        <v>29</v>
      </c>
    </row>
    <row r="190" spans="1:10">
      <c r="A190">
        <v>1</v>
      </c>
      <c r="B190" t="s">
        <v>9</v>
      </c>
      <c r="C190" t="str">
        <f t="shared" si="2"/>
        <v>Y1Q4</v>
      </c>
      <c r="D190" t="s">
        <v>56</v>
      </c>
      <c r="E190" t="s">
        <v>23</v>
      </c>
      <c r="F190" t="s">
        <v>50</v>
      </c>
      <c r="G190" t="s">
        <v>73</v>
      </c>
      <c r="H190" t="s">
        <v>92</v>
      </c>
      <c r="I190" s="3">
        <v>0.38569999999999999</v>
      </c>
      <c r="J190">
        <v>23</v>
      </c>
    </row>
    <row r="191" spans="1:10">
      <c r="A191">
        <v>1</v>
      </c>
      <c r="B191" t="s">
        <v>9</v>
      </c>
      <c r="C191" t="str">
        <f t="shared" si="2"/>
        <v>Y1Q4</v>
      </c>
      <c r="D191" t="s">
        <v>56</v>
      </c>
      <c r="E191" t="s">
        <v>23</v>
      </c>
      <c r="F191" t="s">
        <v>50</v>
      </c>
      <c r="G191" t="s">
        <v>71</v>
      </c>
      <c r="H191" t="s">
        <v>93</v>
      </c>
      <c r="I191" s="3">
        <v>0.1188</v>
      </c>
      <c r="J191">
        <v>7</v>
      </c>
    </row>
    <row r="192" spans="1:10">
      <c r="A192">
        <v>1</v>
      </c>
      <c r="B192" t="s">
        <v>9</v>
      </c>
      <c r="C192" t="str">
        <f t="shared" si="2"/>
        <v>Y1Q4</v>
      </c>
      <c r="D192" t="s">
        <v>57</v>
      </c>
      <c r="E192" t="s">
        <v>23</v>
      </c>
      <c r="F192" t="s">
        <v>43</v>
      </c>
      <c r="G192" t="s">
        <v>79</v>
      </c>
      <c r="H192" t="s">
        <v>84</v>
      </c>
      <c r="I192" s="3">
        <v>0.71350000000000002</v>
      </c>
      <c r="J192">
        <v>31</v>
      </c>
    </row>
    <row r="193" spans="1:10">
      <c r="A193">
        <v>1</v>
      </c>
      <c r="B193" t="s">
        <v>9</v>
      </c>
      <c r="C193" t="str">
        <f t="shared" si="2"/>
        <v>Y1Q4</v>
      </c>
      <c r="D193" t="s">
        <v>57</v>
      </c>
      <c r="E193" t="s">
        <v>23</v>
      </c>
      <c r="F193" t="s">
        <v>43</v>
      </c>
      <c r="G193" t="s">
        <v>69</v>
      </c>
      <c r="H193" t="s">
        <v>85</v>
      </c>
      <c r="I193" s="3">
        <v>0.18479999999999999</v>
      </c>
      <c r="J193">
        <v>8</v>
      </c>
    </row>
    <row r="194" spans="1:10">
      <c r="A194">
        <v>1</v>
      </c>
      <c r="B194" t="s">
        <v>9</v>
      </c>
      <c r="C194" t="str">
        <f t="shared" si="2"/>
        <v>Y1Q4</v>
      </c>
      <c r="D194" t="s">
        <v>57</v>
      </c>
      <c r="E194" t="s">
        <v>23</v>
      </c>
      <c r="F194" t="s">
        <v>43</v>
      </c>
      <c r="G194" t="s">
        <v>71</v>
      </c>
      <c r="H194" t="s">
        <v>86</v>
      </c>
      <c r="I194" s="3">
        <v>0.1016</v>
      </c>
      <c r="J194">
        <v>5</v>
      </c>
    </row>
    <row r="195" spans="1:10">
      <c r="A195">
        <v>1</v>
      </c>
      <c r="B195" t="s">
        <v>9</v>
      </c>
      <c r="C195" t="str">
        <f t="shared" ref="C195:C258" si="3">"Y"&amp;A195&amp;B195</f>
        <v>Y1Q4</v>
      </c>
      <c r="D195" t="s">
        <v>58</v>
      </c>
      <c r="E195" t="s">
        <v>26</v>
      </c>
      <c r="F195" t="s">
        <v>46</v>
      </c>
      <c r="G195" t="s">
        <v>69</v>
      </c>
      <c r="H195" t="s">
        <v>87</v>
      </c>
      <c r="I195" s="3">
        <v>0.41889999999999999</v>
      </c>
      <c r="J195">
        <v>40</v>
      </c>
    </row>
    <row r="196" spans="1:10">
      <c r="A196">
        <v>1</v>
      </c>
      <c r="B196" t="s">
        <v>9</v>
      </c>
      <c r="C196" t="str">
        <f t="shared" si="3"/>
        <v>Y1Q4</v>
      </c>
      <c r="D196" t="s">
        <v>58</v>
      </c>
      <c r="E196" t="s">
        <v>26</v>
      </c>
      <c r="F196" t="s">
        <v>46</v>
      </c>
      <c r="G196" t="s">
        <v>67</v>
      </c>
      <c r="H196" t="s">
        <v>89</v>
      </c>
      <c r="I196" s="3">
        <v>0.31180000000000002</v>
      </c>
      <c r="J196">
        <v>30</v>
      </c>
    </row>
    <row r="197" spans="1:10">
      <c r="A197">
        <v>1</v>
      </c>
      <c r="B197" t="s">
        <v>9</v>
      </c>
      <c r="C197" t="str">
        <f t="shared" si="3"/>
        <v>Y1Q4</v>
      </c>
      <c r="D197" t="s">
        <v>58</v>
      </c>
      <c r="E197" t="s">
        <v>26</v>
      </c>
      <c r="F197" t="s">
        <v>46</v>
      </c>
      <c r="G197" t="s">
        <v>79</v>
      </c>
      <c r="H197" t="s">
        <v>88</v>
      </c>
      <c r="I197" s="3">
        <v>0.2084</v>
      </c>
      <c r="J197">
        <v>20</v>
      </c>
    </row>
    <row r="198" spans="1:10">
      <c r="A198">
        <v>1</v>
      </c>
      <c r="B198" t="s">
        <v>9</v>
      </c>
      <c r="C198" t="str">
        <f t="shared" si="3"/>
        <v>Y1Q4</v>
      </c>
      <c r="D198" t="s">
        <v>58</v>
      </c>
      <c r="E198" t="s">
        <v>26</v>
      </c>
      <c r="F198" t="s">
        <v>46</v>
      </c>
      <c r="G198" t="s">
        <v>71</v>
      </c>
      <c r="H198" t="s">
        <v>90</v>
      </c>
      <c r="I198" s="3">
        <v>6.0900000000000003E-2</v>
      </c>
      <c r="J198">
        <v>5</v>
      </c>
    </row>
    <row r="199" spans="1:10">
      <c r="A199">
        <v>1</v>
      </c>
      <c r="B199" t="s">
        <v>9</v>
      </c>
      <c r="C199" t="str">
        <f t="shared" si="3"/>
        <v>Y1Q4</v>
      </c>
      <c r="D199" t="s">
        <v>59</v>
      </c>
      <c r="E199" t="s">
        <v>26</v>
      </c>
      <c r="F199" t="s">
        <v>54</v>
      </c>
      <c r="G199" t="s">
        <v>73</v>
      </c>
      <c r="H199" t="s">
        <v>94</v>
      </c>
      <c r="I199" s="3">
        <v>0.44890000000000002</v>
      </c>
      <c r="J199">
        <v>30</v>
      </c>
    </row>
    <row r="200" spans="1:10">
      <c r="A200">
        <v>1</v>
      </c>
      <c r="B200" t="s">
        <v>9</v>
      </c>
      <c r="C200" t="str">
        <f t="shared" si="3"/>
        <v>Y1Q4</v>
      </c>
      <c r="D200" t="s">
        <v>59</v>
      </c>
      <c r="E200" t="s">
        <v>26</v>
      </c>
      <c r="F200" t="s">
        <v>54</v>
      </c>
      <c r="G200" t="s">
        <v>79</v>
      </c>
      <c r="H200" t="s">
        <v>95</v>
      </c>
      <c r="I200" s="3">
        <v>0.32519999999999999</v>
      </c>
      <c r="J200">
        <v>21</v>
      </c>
    </row>
    <row r="201" spans="1:10">
      <c r="A201">
        <v>1</v>
      </c>
      <c r="B201" t="s">
        <v>9</v>
      </c>
      <c r="C201" t="str">
        <f t="shared" si="3"/>
        <v>Y1Q4</v>
      </c>
      <c r="D201" t="s">
        <v>59</v>
      </c>
      <c r="E201" t="s">
        <v>26</v>
      </c>
      <c r="F201" t="s">
        <v>54</v>
      </c>
      <c r="G201" t="s">
        <v>67</v>
      </c>
      <c r="H201" t="s">
        <v>96</v>
      </c>
      <c r="I201" s="3">
        <v>0.22589999999999999</v>
      </c>
      <c r="J201">
        <v>15</v>
      </c>
    </row>
    <row r="202" spans="1:10">
      <c r="A202">
        <v>2</v>
      </c>
      <c r="B202" t="s">
        <v>6</v>
      </c>
      <c r="C202" t="str">
        <f t="shared" si="3"/>
        <v>Y2Q1</v>
      </c>
      <c r="D202" t="s">
        <v>32</v>
      </c>
      <c r="E202" t="s">
        <v>14</v>
      </c>
      <c r="F202" t="s">
        <v>33</v>
      </c>
      <c r="G202" t="s">
        <v>67</v>
      </c>
      <c r="H202" t="s">
        <v>68</v>
      </c>
      <c r="I202" s="3">
        <v>0.40039999999999998</v>
      </c>
      <c r="J202">
        <v>68</v>
      </c>
    </row>
    <row r="203" spans="1:10">
      <c r="A203">
        <v>2</v>
      </c>
      <c r="B203" t="s">
        <v>6</v>
      </c>
      <c r="C203" t="str">
        <f t="shared" si="3"/>
        <v>Y2Q1</v>
      </c>
      <c r="D203" t="s">
        <v>32</v>
      </c>
      <c r="E203" t="s">
        <v>14</v>
      </c>
      <c r="F203" t="s">
        <v>33</v>
      </c>
      <c r="G203" t="s">
        <v>69</v>
      </c>
      <c r="H203" t="s">
        <v>70</v>
      </c>
      <c r="I203" s="3">
        <v>0.27860000000000001</v>
      </c>
      <c r="J203">
        <v>47</v>
      </c>
    </row>
    <row r="204" spans="1:10">
      <c r="A204">
        <v>2</v>
      </c>
      <c r="B204" t="s">
        <v>6</v>
      </c>
      <c r="C204" t="str">
        <f t="shared" si="3"/>
        <v>Y2Q1</v>
      </c>
      <c r="D204" t="s">
        <v>32</v>
      </c>
      <c r="E204" t="s">
        <v>14</v>
      </c>
      <c r="F204" t="s">
        <v>33</v>
      </c>
      <c r="G204" t="s">
        <v>71</v>
      </c>
      <c r="H204" t="s">
        <v>72</v>
      </c>
      <c r="I204" s="3">
        <v>0.22259999999999999</v>
      </c>
      <c r="J204">
        <v>38</v>
      </c>
    </row>
    <row r="205" spans="1:10">
      <c r="A205">
        <v>2</v>
      </c>
      <c r="B205" t="s">
        <v>6</v>
      </c>
      <c r="C205" t="str">
        <f t="shared" si="3"/>
        <v>Y2Q1</v>
      </c>
      <c r="D205" t="s">
        <v>32</v>
      </c>
      <c r="E205" t="s">
        <v>14</v>
      </c>
      <c r="F205" t="s">
        <v>33</v>
      </c>
      <c r="G205" t="s">
        <v>73</v>
      </c>
      <c r="H205" t="s">
        <v>74</v>
      </c>
      <c r="I205" s="3">
        <v>9.8299999999999998E-2</v>
      </c>
      <c r="J205">
        <v>16</v>
      </c>
    </row>
    <row r="206" spans="1:10">
      <c r="A206">
        <v>2</v>
      </c>
      <c r="B206" t="s">
        <v>6</v>
      </c>
      <c r="C206" t="str">
        <f t="shared" si="3"/>
        <v>Y2Q1</v>
      </c>
      <c r="D206" t="s">
        <v>35</v>
      </c>
      <c r="E206" t="s">
        <v>14</v>
      </c>
      <c r="F206" t="s">
        <v>36</v>
      </c>
      <c r="G206" t="s">
        <v>69</v>
      </c>
      <c r="H206" t="s">
        <v>75</v>
      </c>
      <c r="I206" s="3">
        <v>0.53110000000000002</v>
      </c>
      <c r="J206">
        <v>45</v>
      </c>
    </row>
    <row r="207" spans="1:10">
      <c r="A207">
        <v>2</v>
      </c>
      <c r="B207" t="s">
        <v>6</v>
      </c>
      <c r="C207" t="str">
        <f t="shared" si="3"/>
        <v>Y2Q1</v>
      </c>
      <c r="D207" t="s">
        <v>35</v>
      </c>
      <c r="E207" t="s">
        <v>14</v>
      </c>
      <c r="F207" t="s">
        <v>36</v>
      </c>
      <c r="G207" t="s">
        <v>67</v>
      </c>
      <c r="H207" t="s">
        <v>76</v>
      </c>
      <c r="I207" s="3">
        <v>0.32190000000000002</v>
      </c>
      <c r="J207">
        <v>27</v>
      </c>
    </row>
    <row r="208" spans="1:10">
      <c r="A208">
        <v>2</v>
      </c>
      <c r="B208" t="s">
        <v>6</v>
      </c>
      <c r="C208" t="str">
        <f t="shared" si="3"/>
        <v>Y2Q1</v>
      </c>
      <c r="D208" t="s">
        <v>35</v>
      </c>
      <c r="E208" t="s">
        <v>14</v>
      </c>
      <c r="F208" t="s">
        <v>36</v>
      </c>
      <c r="G208" t="s">
        <v>73</v>
      </c>
      <c r="H208" t="s">
        <v>77</v>
      </c>
      <c r="I208" s="3">
        <v>0.14699999999999999</v>
      </c>
      <c r="J208">
        <v>12</v>
      </c>
    </row>
    <row r="209" spans="1:10">
      <c r="A209">
        <v>2</v>
      </c>
      <c r="B209" t="s">
        <v>6</v>
      </c>
      <c r="C209" t="str">
        <f t="shared" si="3"/>
        <v>Y2Q1</v>
      </c>
      <c r="D209" t="s">
        <v>38</v>
      </c>
      <c r="E209" t="s">
        <v>17</v>
      </c>
      <c r="F209" t="s">
        <v>39</v>
      </c>
      <c r="G209" t="s">
        <v>71</v>
      </c>
      <c r="H209" t="s">
        <v>78</v>
      </c>
      <c r="I209" s="3">
        <v>0.3846</v>
      </c>
      <c r="J209">
        <v>100</v>
      </c>
    </row>
    <row r="210" spans="1:10">
      <c r="A210">
        <v>2</v>
      </c>
      <c r="B210" t="s">
        <v>6</v>
      </c>
      <c r="C210" t="str">
        <f t="shared" si="3"/>
        <v>Y2Q1</v>
      </c>
      <c r="D210" t="s">
        <v>38</v>
      </c>
      <c r="E210" t="s">
        <v>17</v>
      </c>
      <c r="F210" t="s">
        <v>39</v>
      </c>
      <c r="G210" t="s">
        <v>79</v>
      </c>
      <c r="H210" t="s">
        <v>80</v>
      </c>
      <c r="I210" s="3">
        <v>0.24</v>
      </c>
      <c r="J210">
        <v>62</v>
      </c>
    </row>
    <row r="211" spans="1:10">
      <c r="A211">
        <v>2</v>
      </c>
      <c r="B211" t="s">
        <v>6</v>
      </c>
      <c r="C211" t="str">
        <f t="shared" si="3"/>
        <v>Y2Q1</v>
      </c>
      <c r="D211" t="s">
        <v>38</v>
      </c>
      <c r="E211" t="s">
        <v>17</v>
      </c>
      <c r="F211" t="s">
        <v>39</v>
      </c>
      <c r="G211" t="s">
        <v>67</v>
      </c>
      <c r="H211" t="s">
        <v>81</v>
      </c>
      <c r="I211" s="3">
        <v>0.16320000000000001</v>
      </c>
      <c r="J211">
        <v>42</v>
      </c>
    </row>
    <row r="212" spans="1:10">
      <c r="A212">
        <v>2</v>
      </c>
      <c r="B212" t="s">
        <v>6</v>
      </c>
      <c r="C212" t="str">
        <f t="shared" si="3"/>
        <v>Y2Q1</v>
      </c>
      <c r="D212" t="s">
        <v>38</v>
      </c>
      <c r="E212" t="s">
        <v>17</v>
      </c>
      <c r="F212" t="s">
        <v>39</v>
      </c>
      <c r="G212" t="s">
        <v>69</v>
      </c>
      <c r="H212" t="s">
        <v>82</v>
      </c>
      <c r="I212" s="3">
        <v>0.14380000000000001</v>
      </c>
      <c r="J212">
        <v>37</v>
      </c>
    </row>
    <row r="213" spans="1:10">
      <c r="A213">
        <v>2</v>
      </c>
      <c r="B213" t="s">
        <v>6</v>
      </c>
      <c r="C213" t="str">
        <f t="shared" si="3"/>
        <v>Y2Q1</v>
      </c>
      <c r="D213" t="s">
        <v>38</v>
      </c>
      <c r="E213" t="s">
        <v>17</v>
      </c>
      <c r="F213" t="s">
        <v>39</v>
      </c>
      <c r="G213" t="s">
        <v>73</v>
      </c>
      <c r="H213" t="s">
        <v>83</v>
      </c>
      <c r="I213" s="3">
        <v>6.8500000000000005E-2</v>
      </c>
      <c r="J213">
        <v>19</v>
      </c>
    </row>
    <row r="214" spans="1:10">
      <c r="A214">
        <v>2</v>
      </c>
      <c r="B214" t="s">
        <v>6</v>
      </c>
      <c r="C214" t="str">
        <f t="shared" si="3"/>
        <v>Y2Q1</v>
      </c>
      <c r="D214" t="s">
        <v>41</v>
      </c>
      <c r="E214" t="s">
        <v>17</v>
      </c>
      <c r="F214" t="s">
        <v>33</v>
      </c>
      <c r="G214" t="s">
        <v>67</v>
      </c>
      <c r="H214" t="s">
        <v>68</v>
      </c>
      <c r="I214" s="3">
        <v>0.31519999999999998</v>
      </c>
      <c r="J214">
        <v>36</v>
      </c>
    </row>
    <row r="215" spans="1:10">
      <c r="A215">
        <v>2</v>
      </c>
      <c r="B215" t="s">
        <v>6</v>
      </c>
      <c r="C215" t="str">
        <f t="shared" si="3"/>
        <v>Y2Q1</v>
      </c>
      <c r="D215" t="s">
        <v>41</v>
      </c>
      <c r="E215" t="s">
        <v>17</v>
      </c>
      <c r="F215" t="s">
        <v>33</v>
      </c>
      <c r="G215" t="s">
        <v>69</v>
      </c>
      <c r="H215" t="s">
        <v>70</v>
      </c>
      <c r="I215" s="3">
        <v>0.28949999999999998</v>
      </c>
      <c r="J215">
        <v>33</v>
      </c>
    </row>
    <row r="216" spans="1:10">
      <c r="A216">
        <v>2</v>
      </c>
      <c r="B216" t="s">
        <v>6</v>
      </c>
      <c r="C216" t="str">
        <f t="shared" si="3"/>
        <v>Y2Q1</v>
      </c>
      <c r="D216" t="s">
        <v>41</v>
      </c>
      <c r="E216" t="s">
        <v>17</v>
      </c>
      <c r="F216" t="s">
        <v>33</v>
      </c>
      <c r="G216" t="s">
        <v>71</v>
      </c>
      <c r="H216" t="s">
        <v>72</v>
      </c>
      <c r="I216" s="3">
        <v>0.21560000000000001</v>
      </c>
      <c r="J216">
        <v>24</v>
      </c>
    </row>
    <row r="217" spans="1:10">
      <c r="A217">
        <v>2</v>
      </c>
      <c r="B217" t="s">
        <v>6</v>
      </c>
      <c r="C217" t="str">
        <f t="shared" si="3"/>
        <v>Y2Q1</v>
      </c>
      <c r="D217" t="s">
        <v>41</v>
      </c>
      <c r="E217" t="s">
        <v>17</v>
      </c>
      <c r="F217" t="s">
        <v>33</v>
      </c>
      <c r="G217" t="s">
        <v>73</v>
      </c>
      <c r="H217" t="s">
        <v>74</v>
      </c>
      <c r="I217" s="3">
        <v>0.1797</v>
      </c>
      <c r="J217">
        <v>20</v>
      </c>
    </row>
    <row r="218" spans="1:10">
      <c r="A218">
        <v>2</v>
      </c>
      <c r="B218" t="s">
        <v>6</v>
      </c>
      <c r="C218" t="str">
        <f t="shared" si="3"/>
        <v>Y2Q1</v>
      </c>
      <c r="D218" t="s">
        <v>42</v>
      </c>
      <c r="E218" t="s">
        <v>17</v>
      </c>
      <c r="F218" t="s">
        <v>43</v>
      </c>
      <c r="G218" t="s">
        <v>79</v>
      </c>
      <c r="H218" t="s">
        <v>84</v>
      </c>
      <c r="I218" s="3">
        <v>0.64780000000000004</v>
      </c>
      <c r="J218">
        <v>75</v>
      </c>
    </row>
    <row r="219" spans="1:10">
      <c r="A219">
        <v>2</v>
      </c>
      <c r="B219" t="s">
        <v>6</v>
      </c>
      <c r="C219" t="str">
        <f t="shared" si="3"/>
        <v>Y2Q1</v>
      </c>
      <c r="D219" t="s">
        <v>42</v>
      </c>
      <c r="E219" t="s">
        <v>17</v>
      </c>
      <c r="F219" t="s">
        <v>43</v>
      </c>
      <c r="G219" t="s">
        <v>69</v>
      </c>
      <c r="H219" t="s">
        <v>85</v>
      </c>
      <c r="I219" s="3">
        <v>0.22470000000000001</v>
      </c>
      <c r="J219">
        <v>26</v>
      </c>
    </row>
    <row r="220" spans="1:10">
      <c r="A220">
        <v>2</v>
      </c>
      <c r="B220" t="s">
        <v>6</v>
      </c>
      <c r="C220" t="str">
        <f t="shared" si="3"/>
        <v>Y2Q1</v>
      </c>
      <c r="D220" t="s">
        <v>42</v>
      </c>
      <c r="E220" t="s">
        <v>17</v>
      </c>
      <c r="F220" t="s">
        <v>43</v>
      </c>
      <c r="G220" t="s">
        <v>71</v>
      </c>
      <c r="H220" t="s">
        <v>86</v>
      </c>
      <c r="I220" s="3">
        <v>0.1275</v>
      </c>
      <c r="J220">
        <v>15</v>
      </c>
    </row>
    <row r="221" spans="1:10">
      <c r="A221">
        <v>2</v>
      </c>
      <c r="B221" t="s">
        <v>6</v>
      </c>
      <c r="C221" t="str">
        <f t="shared" si="3"/>
        <v>Y2Q1</v>
      </c>
      <c r="D221" t="s">
        <v>45</v>
      </c>
      <c r="E221" t="s">
        <v>20</v>
      </c>
      <c r="F221" t="s">
        <v>46</v>
      </c>
      <c r="G221" t="s">
        <v>69</v>
      </c>
      <c r="H221" t="s">
        <v>87</v>
      </c>
      <c r="I221" s="3">
        <v>0.33110000000000001</v>
      </c>
      <c r="J221">
        <v>42</v>
      </c>
    </row>
    <row r="222" spans="1:10">
      <c r="A222">
        <v>2</v>
      </c>
      <c r="B222" t="s">
        <v>6</v>
      </c>
      <c r="C222" t="str">
        <f t="shared" si="3"/>
        <v>Y2Q1</v>
      </c>
      <c r="D222" t="s">
        <v>45</v>
      </c>
      <c r="E222" t="s">
        <v>20</v>
      </c>
      <c r="F222" t="s">
        <v>46</v>
      </c>
      <c r="G222" t="s">
        <v>79</v>
      </c>
      <c r="H222" t="s">
        <v>88</v>
      </c>
      <c r="I222" s="3">
        <v>0.29599999999999999</v>
      </c>
      <c r="J222">
        <v>38</v>
      </c>
    </row>
    <row r="223" spans="1:10">
      <c r="A223">
        <v>2</v>
      </c>
      <c r="B223" t="s">
        <v>6</v>
      </c>
      <c r="C223" t="str">
        <f t="shared" si="3"/>
        <v>Y2Q1</v>
      </c>
      <c r="D223" t="s">
        <v>45</v>
      </c>
      <c r="E223" t="s">
        <v>20</v>
      </c>
      <c r="F223" t="s">
        <v>46</v>
      </c>
      <c r="G223" t="s">
        <v>67</v>
      </c>
      <c r="H223" t="s">
        <v>89</v>
      </c>
      <c r="I223" s="3">
        <v>0.2621</v>
      </c>
      <c r="J223">
        <v>33</v>
      </c>
    </row>
    <row r="224" spans="1:10">
      <c r="A224">
        <v>2</v>
      </c>
      <c r="B224" t="s">
        <v>6</v>
      </c>
      <c r="C224" t="str">
        <f t="shared" si="3"/>
        <v>Y2Q1</v>
      </c>
      <c r="D224" t="s">
        <v>45</v>
      </c>
      <c r="E224" t="s">
        <v>20</v>
      </c>
      <c r="F224" t="s">
        <v>46</v>
      </c>
      <c r="G224" t="s">
        <v>71</v>
      </c>
      <c r="H224" t="s">
        <v>90</v>
      </c>
      <c r="I224" s="3">
        <v>0.1108</v>
      </c>
      <c r="J224">
        <v>14</v>
      </c>
    </row>
    <row r="225" spans="1:10">
      <c r="A225">
        <v>2</v>
      </c>
      <c r="B225" t="s">
        <v>6</v>
      </c>
      <c r="C225" t="str">
        <f t="shared" si="3"/>
        <v>Y2Q1</v>
      </c>
      <c r="D225" t="s">
        <v>48</v>
      </c>
      <c r="E225" t="s">
        <v>20</v>
      </c>
      <c r="F225" t="s">
        <v>36</v>
      </c>
      <c r="G225" t="s">
        <v>69</v>
      </c>
      <c r="H225" t="s">
        <v>75</v>
      </c>
      <c r="I225" s="3">
        <v>0.60170000000000001</v>
      </c>
      <c r="J225">
        <v>55</v>
      </c>
    </row>
    <row r="226" spans="1:10">
      <c r="A226">
        <v>2</v>
      </c>
      <c r="B226" t="s">
        <v>6</v>
      </c>
      <c r="C226" t="str">
        <f t="shared" si="3"/>
        <v>Y2Q1</v>
      </c>
      <c r="D226" t="s">
        <v>48</v>
      </c>
      <c r="E226" t="s">
        <v>20</v>
      </c>
      <c r="F226" t="s">
        <v>36</v>
      </c>
      <c r="G226" t="s">
        <v>67</v>
      </c>
      <c r="H226" t="s">
        <v>76</v>
      </c>
      <c r="I226" s="3">
        <v>0.27589999999999998</v>
      </c>
      <c r="J226">
        <v>25</v>
      </c>
    </row>
    <row r="227" spans="1:10">
      <c r="A227">
        <v>2</v>
      </c>
      <c r="B227" t="s">
        <v>6</v>
      </c>
      <c r="C227" t="str">
        <f t="shared" si="3"/>
        <v>Y2Q1</v>
      </c>
      <c r="D227" t="s">
        <v>48</v>
      </c>
      <c r="E227" t="s">
        <v>20</v>
      </c>
      <c r="F227" t="s">
        <v>36</v>
      </c>
      <c r="G227" t="s">
        <v>73</v>
      </c>
      <c r="H227" t="s">
        <v>77</v>
      </c>
      <c r="I227" s="3">
        <v>0.12239999999999999</v>
      </c>
      <c r="J227">
        <v>12</v>
      </c>
    </row>
    <row r="228" spans="1:10">
      <c r="A228">
        <v>2</v>
      </c>
      <c r="B228" t="s">
        <v>6</v>
      </c>
      <c r="C228" t="str">
        <f t="shared" si="3"/>
        <v>Y2Q1</v>
      </c>
      <c r="D228" t="s">
        <v>49</v>
      </c>
      <c r="E228" t="s">
        <v>20</v>
      </c>
      <c r="F228" t="s">
        <v>50</v>
      </c>
      <c r="G228" t="s">
        <v>79</v>
      </c>
      <c r="H228" t="s">
        <v>91</v>
      </c>
      <c r="I228" s="3">
        <v>0.56110000000000004</v>
      </c>
      <c r="J228">
        <v>43</v>
      </c>
    </row>
    <row r="229" spans="1:10">
      <c r="A229">
        <v>2</v>
      </c>
      <c r="B229" t="s">
        <v>6</v>
      </c>
      <c r="C229" t="str">
        <f t="shared" si="3"/>
        <v>Y2Q1</v>
      </c>
      <c r="D229" t="s">
        <v>49</v>
      </c>
      <c r="E229" t="s">
        <v>20</v>
      </c>
      <c r="F229" t="s">
        <v>50</v>
      </c>
      <c r="G229" t="s">
        <v>73</v>
      </c>
      <c r="H229" t="s">
        <v>92</v>
      </c>
      <c r="I229" s="3">
        <v>0.2863</v>
      </c>
      <c r="J229">
        <v>22</v>
      </c>
    </row>
    <row r="230" spans="1:10">
      <c r="A230">
        <v>2</v>
      </c>
      <c r="B230" t="s">
        <v>6</v>
      </c>
      <c r="C230" t="str">
        <f t="shared" si="3"/>
        <v>Y2Q1</v>
      </c>
      <c r="D230" t="s">
        <v>49</v>
      </c>
      <c r="E230" t="s">
        <v>20</v>
      </c>
      <c r="F230" t="s">
        <v>50</v>
      </c>
      <c r="G230" t="s">
        <v>71</v>
      </c>
      <c r="H230" t="s">
        <v>93</v>
      </c>
      <c r="I230" s="3">
        <v>0.1525</v>
      </c>
      <c r="J230">
        <v>11</v>
      </c>
    </row>
    <row r="231" spans="1:10">
      <c r="A231">
        <v>2</v>
      </c>
      <c r="B231" t="s">
        <v>6</v>
      </c>
      <c r="C231" t="str">
        <f t="shared" si="3"/>
        <v>Y2Q1</v>
      </c>
      <c r="D231" t="s">
        <v>52</v>
      </c>
      <c r="E231" t="s">
        <v>23</v>
      </c>
      <c r="F231" t="s">
        <v>39</v>
      </c>
      <c r="G231" t="s">
        <v>71</v>
      </c>
      <c r="H231" t="s">
        <v>78</v>
      </c>
      <c r="I231" s="3">
        <v>0.3175</v>
      </c>
      <c r="J231">
        <v>23</v>
      </c>
    </row>
    <row r="232" spans="1:10">
      <c r="A232">
        <v>2</v>
      </c>
      <c r="B232" t="s">
        <v>6</v>
      </c>
      <c r="C232" t="str">
        <f t="shared" si="3"/>
        <v>Y2Q1</v>
      </c>
      <c r="D232" t="s">
        <v>52</v>
      </c>
      <c r="E232" t="s">
        <v>23</v>
      </c>
      <c r="F232" t="s">
        <v>39</v>
      </c>
      <c r="G232" t="s">
        <v>79</v>
      </c>
      <c r="H232" t="s">
        <v>80</v>
      </c>
      <c r="I232" s="3">
        <v>0.2301</v>
      </c>
      <c r="J232">
        <v>17</v>
      </c>
    </row>
    <row r="233" spans="1:10">
      <c r="A233">
        <v>2</v>
      </c>
      <c r="B233" t="s">
        <v>6</v>
      </c>
      <c r="C233" t="str">
        <f t="shared" si="3"/>
        <v>Y2Q1</v>
      </c>
      <c r="D233" t="s">
        <v>52</v>
      </c>
      <c r="E233" t="s">
        <v>23</v>
      </c>
      <c r="F233" t="s">
        <v>39</v>
      </c>
      <c r="G233" t="s">
        <v>73</v>
      </c>
      <c r="H233" t="s">
        <v>83</v>
      </c>
      <c r="I233" s="3">
        <v>0.20449999999999999</v>
      </c>
      <c r="J233">
        <v>15</v>
      </c>
    </row>
    <row r="234" spans="1:10">
      <c r="A234">
        <v>2</v>
      </c>
      <c r="B234" t="s">
        <v>6</v>
      </c>
      <c r="C234" t="str">
        <f t="shared" si="3"/>
        <v>Y2Q1</v>
      </c>
      <c r="D234" t="s">
        <v>52</v>
      </c>
      <c r="E234" t="s">
        <v>23</v>
      </c>
      <c r="F234" t="s">
        <v>39</v>
      </c>
      <c r="G234" t="s">
        <v>67</v>
      </c>
      <c r="H234" t="s">
        <v>81</v>
      </c>
      <c r="I234" s="3">
        <v>0.113</v>
      </c>
      <c r="J234">
        <v>8</v>
      </c>
    </row>
    <row r="235" spans="1:10">
      <c r="A235">
        <v>2</v>
      </c>
      <c r="B235" t="s">
        <v>6</v>
      </c>
      <c r="C235" t="str">
        <f t="shared" si="3"/>
        <v>Y2Q1</v>
      </c>
      <c r="D235" t="s">
        <v>52</v>
      </c>
      <c r="E235" t="s">
        <v>23</v>
      </c>
      <c r="F235" t="s">
        <v>39</v>
      </c>
      <c r="G235" t="s">
        <v>69</v>
      </c>
      <c r="H235" t="s">
        <v>82</v>
      </c>
      <c r="I235" s="3">
        <v>0.13489999999999999</v>
      </c>
      <c r="J235">
        <v>11</v>
      </c>
    </row>
    <row r="236" spans="1:10">
      <c r="A236">
        <v>2</v>
      </c>
      <c r="B236" t="s">
        <v>6</v>
      </c>
      <c r="C236" t="str">
        <f t="shared" si="3"/>
        <v>Y2Q1</v>
      </c>
      <c r="D236" t="s">
        <v>53</v>
      </c>
      <c r="E236" t="s">
        <v>23</v>
      </c>
      <c r="F236" t="s">
        <v>54</v>
      </c>
      <c r="G236" t="s">
        <v>73</v>
      </c>
      <c r="H236" t="s">
        <v>94</v>
      </c>
      <c r="I236" s="3">
        <v>0.54</v>
      </c>
      <c r="J236">
        <v>42</v>
      </c>
    </row>
    <row r="237" spans="1:10">
      <c r="A237">
        <v>2</v>
      </c>
      <c r="B237" t="s">
        <v>6</v>
      </c>
      <c r="C237" t="str">
        <f t="shared" si="3"/>
        <v>Y2Q1</v>
      </c>
      <c r="D237" t="s">
        <v>53</v>
      </c>
      <c r="E237" t="s">
        <v>23</v>
      </c>
      <c r="F237" t="s">
        <v>54</v>
      </c>
      <c r="G237" t="s">
        <v>79</v>
      </c>
      <c r="H237" t="s">
        <v>95</v>
      </c>
      <c r="I237" s="3">
        <v>0.3029</v>
      </c>
      <c r="J237">
        <v>24</v>
      </c>
    </row>
    <row r="238" spans="1:10">
      <c r="A238">
        <v>2</v>
      </c>
      <c r="B238" t="s">
        <v>6</v>
      </c>
      <c r="C238" t="str">
        <f t="shared" si="3"/>
        <v>Y2Q1</v>
      </c>
      <c r="D238" t="s">
        <v>53</v>
      </c>
      <c r="E238" t="s">
        <v>23</v>
      </c>
      <c r="F238" t="s">
        <v>54</v>
      </c>
      <c r="G238" t="s">
        <v>67</v>
      </c>
      <c r="H238" t="s">
        <v>96</v>
      </c>
      <c r="I238" s="3">
        <v>0.15720000000000001</v>
      </c>
      <c r="J238">
        <v>12</v>
      </c>
    </row>
    <row r="239" spans="1:10">
      <c r="A239">
        <v>2</v>
      </c>
      <c r="B239" t="s">
        <v>6</v>
      </c>
      <c r="C239" t="str">
        <f t="shared" si="3"/>
        <v>Y2Q1</v>
      </c>
      <c r="D239" t="s">
        <v>56</v>
      </c>
      <c r="E239" t="s">
        <v>23</v>
      </c>
      <c r="F239" t="s">
        <v>50</v>
      </c>
      <c r="G239" t="s">
        <v>79</v>
      </c>
      <c r="H239" t="s">
        <v>91</v>
      </c>
      <c r="I239" s="3">
        <v>0.47839999999999999</v>
      </c>
      <c r="J239">
        <v>30</v>
      </c>
    </row>
    <row r="240" spans="1:10">
      <c r="A240">
        <v>2</v>
      </c>
      <c r="B240" t="s">
        <v>6</v>
      </c>
      <c r="C240" t="str">
        <f t="shared" si="3"/>
        <v>Y2Q1</v>
      </c>
      <c r="D240" t="s">
        <v>56</v>
      </c>
      <c r="E240" t="s">
        <v>23</v>
      </c>
      <c r="F240" t="s">
        <v>50</v>
      </c>
      <c r="G240" t="s">
        <v>73</v>
      </c>
      <c r="H240" t="s">
        <v>92</v>
      </c>
      <c r="I240" s="3">
        <v>0.38159999999999999</v>
      </c>
      <c r="J240">
        <v>24</v>
      </c>
    </row>
    <row r="241" spans="1:10">
      <c r="A241">
        <v>2</v>
      </c>
      <c r="B241" t="s">
        <v>6</v>
      </c>
      <c r="C241" t="str">
        <f t="shared" si="3"/>
        <v>Y2Q1</v>
      </c>
      <c r="D241" t="s">
        <v>56</v>
      </c>
      <c r="E241" t="s">
        <v>23</v>
      </c>
      <c r="F241" t="s">
        <v>50</v>
      </c>
      <c r="G241" t="s">
        <v>71</v>
      </c>
      <c r="H241" t="s">
        <v>93</v>
      </c>
      <c r="I241" s="3">
        <v>0.14000000000000001</v>
      </c>
      <c r="J241">
        <v>9</v>
      </c>
    </row>
    <row r="242" spans="1:10">
      <c r="A242">
        <v>2</v>
      </c>
      <c r="B242" t="s">
        <v>6</v>
      </c>
      <c r="C242" t="str">
        <f t="shared" si="3"/>
        <v>Y2Q1</v>
      </c>
      <c r="D242" t="s">
        <v>57</v>
      </c>
      <c r="E242" t="s">
        <v>23</v>
      </c>
      <c r="F242" t="s">
        <v>43</v>
      </c>
      <c r="G242" t="s">
        <v>79</v>
      </c>
      <c r="H242" t="s">
        <v>84</v>
      </c>
      <c r="I242" s="3">
        <v>0.70489999999999997</v>
      </c>
      <c r="J242">
        <v>30</v>
      </c>
    </row>
    <row r="243" spans="1:10">
      <c r="A243">
        <v>2</v>
      </c>
      <c r="B243" t="s">
        <v>6</v>
      </c>
      <c r="C243" t="str">
        <f t="shared" si="3"/>
        <v>Y2Q1</v>
      </c>
      <c r="D243" t="s">
        <v>57</v>
      </c>
      <c r="E243" t="s">
        <v>23</v>
      </c>
      <c r="F243" t="s">
        <v>43</v>
      </c>
      <c r="G243" t="s">
        <v>69</v>
      </c>
      <c r="H243" t="s">
        <v>85</v>
      </c>
      <c r="I243" s="3">
        <v>0.1789</v>
      </c>
      <c r="J243">
        <v>8</v>
      </c>
    </row>
    <row r="244" spans="1:10">
      <c r="A244">
        <v>2</v>
      </c>
      <c r="B244" t="s">
        <v>6</v>
      </c>
      <c r="C244" t="str">
        <f t="shared" si="3"/>
        <v>Y2Q1</v>
      </c>
      <c r="D244" t="s">
        <v>57</v>
      </c>
      <c r="E244" t="s">
        <v>23</v>
      </c>
      <c r="F244" t="s">
        <v>43</v>
      </c>
      <c r="G244" t="s">
        <v>71</v>
      </c>
      <c r="H244" t="s">
        <v>86</v>
      </c>
      <c r="I244" s="3">
        <v>0.1162</v>
      </c>
      <c r="J244">
        <v>5</v>
      </c>
    </row>
    <row r="245" spans="1:10">
      <c r="A245">
        <v>2</v>
      </c>
      <c r="B245" t="s">
        <v>6</v>
      </c>
      <c r="C245" t="str">
        <f t="shared" si="3"/>
        <v>Y2Q1</v>
      </c>
      <c r="D245" t="s">
        <v>58</v>
      </c>
      <c r="E245" t="s">
        <v>26</v>
      </c>
      <c r="F245" t="s">
        <v>46</v>
      </c>
      <c r="G245" t="s">
        <v>69</v>
      </c>
      <c r="H245" t="s">
        <v>87</v>
      </c>
      <c r="I245" s="3">
        <v>0.42580000000000001</v>
      </c>
      <c r="J245">
        <v>43</v>
      </c>
    </row>
    <row r="246" spans="1:10">
      <c r="A246">
        <v>2</v>
      </c>
      <c r="B246" t="s">
        <v>6</v>
      </c>
      <c r="C246" t="str">
        <f t="shared" si="3"/>
        <v>Y2Q1</v>
      </c>
      <c r="D246" t="s">
        <v>58</v>
      </c>
      <c r="E246" t="s">
        <v>26</v>
      </c>
      <c r="F246" t="s">
        <v>46</v>
      </c>
      <c r="G246" t="s">
        <v>67</v>
      </c>
      <c r="H246" t="s">
        <v>89</v>
      </c>
      <c r="I246" s="3">
        <v>0.29930000000000001</v>
      </c>
      <c r="J246">
        <v>30</v>
      </c>
    </row>
    <row r="247" spans="1:10">
      <c r="A247">
        <v>2</v>
      </c>
      <c r="B247" t="s">
        <v>6</v>
      </c>
      <c r="C247" t="str">
        <f t="shared" si="3"/>
        <v>Y2Q1</v>
      </c>
      <c r="D247" t="s">
        <v>58</v>
      </c>
      <c r="E247" t="s">
        <v>26</v>
      </c>
      <c r="F247" t="s">
        <v>46</v>
      </c>
      <c r="G247" t="s">
        <v>79</v>
      </c>
      <c r="H247" t="s">
        <v>88</v>
      </c>
      <c r="I247" s="3">
        <v>0.21440000000000001</v>
      </c>
      <c r="J247">
        <v>22</v>
      </c>
    </row>
    <row r="248" spans="1:10">
      <c r="A248">
        <v>2</v>
      </c>
      <c r="B248" t="s">
        <v>6</v>
      </c>
      <c r="C248" t="str">
        <f t="shared" si="3"/>
        <v>Y2Q1</v>
      </c>
      <c r="D248" t="s">
        <v>58</v>
      </c>
      <c r="E248" t="s">
        <v>26</v>
      </c>
      <c r="F248" t="s">
        <v>46</v>
      </c>
      <c r="G248" t="s">
        <v>71</v>
      </c>
      <c r="H248" t="s">
        <v>90</v>
      </c>
      <c r="I248" s="3">
        <v>6.0499999999999998E-2</v>
      </c>
      <c r="J248">
        <v>6</v>
      </c>
    </row>
    <row r="249" spans="1:10">
      <c r="A249">
        <v>2</v>
      </c>
      <c r="B249" t="s">
        <v>6</v>
      </c>
      <c r="C249" t="str">
        <f t="shared" si="3"/>
        <v>Y2Q1</v>
      </c>
      <c r="D249" t="s">
        <v>59</v>
      </c>
      <c r="E249" t="s">
        <v>26</v>
      </c>
      <c r="F249" t="s">
        <v>54</v>
      </c>
      <c r="G249" t="s">
        <v>73</v>
      </c>
      <c r="H249" t="s">
        <v>94</v>
      </c>
      <c r="I249" s="3">
        <v>0.4299</v>
      </c>
      <c r="J249">
        <v>31</v>
      </c>
    </row>
    <row r="250" spans="1:10">
      <c r="A250">
        <v>2</v>
      </c>
      <c r="B250" t="s">
        <v>6</v>
      </c>
      <c r="C250" t="str">
        <f t="shared" si="3"/>
        <v>Y2Q1</v>
      </c>
      <c r="D250" t="s">
        <v>59</v>
      </c>
      <c r="E250" t="s">
        <v>26</v>
      </c>
      <c r="F250" t="s">
        <v>54</v>
      </c>
      <c r="G250" t="s">
        <v>79</v>
      </c>
      <c r="H250" t="s">
        <v>95</v>
      </c>
      <c r="I250" s="3">
        <v>0.32369999999999999</v>
      </c>
      <c r="J250">
        <v>23</v>
      </c>
    </row>
    <row r="251" spans="1:10">
      <c r="A251">
        <v>2</v>
      </c>
      <c r="B251" t="s">
        <v>6</v>
      </c>
      <c r="C251" t="str">
        <f t="shared" si="3"/>
        <v>Y2Q1</v>
      </c>
      <c r="D251" t="s">
        <v>59</v>
      </c>
      <c r="E251" t="s">
        <v>26</v>
      </c>
      <c r="F251" t="s">
        <v>54</v>
      </c>
      <c r="G251" t="s">
        <v>67</v>
      </c>
      <c r="H251" t="s">
        <v>96</v>
      </c>
      <c r="I251" s="3">
        <v>0.24640000000000001</v>
      </c>
      <c r="J251">
        <v>17</v>
      </c>
    </row>
    <row r="252" spans="1:10">
      <c r="A252">
        <v>2</v>
      </c>
      <c r="B252" t="s">
        <v>7</v>
      </c>
      <c r="C252" t="str">
        <f t="shared" si="3"/>
        <v>Y2Q2</v>
      </c>
      <c r="D252" t="s">
        <v>32</v>
      </c>
      <c r="E252" t="s">
        <v>14</v>
      </c>
      <c r="F252" t="s">
        <v>33</v>
      </c>
      <c r="G252" t="s">
        <v>67</v>
      </c>
      <c r="H252" t="s">
        <v>68</v>
      </c>
      <c r="I252" s="3">
        <v>0.3861</v>
      </c>
      <c r="J252">
        <v>61</v>
      </c>
    </row>
    <row r="253" spans="1:10">
      <c r="A253">
        <v>2</v>
      </c>
      <c r="B253" t="s">
        <v>7</v>
      </c>
      <c r="C253" t="str">
        <f t="shared" si="3"/>
        <v>Y2Q2</v>
      </c>
      <c r="D253" t="s">
        <v>32</v>
      </c>
      <c r="E253" t="s">
        <v>14</v>
      </c>
      <c r="F253" t="s">
        <v>33</v>
      </c>
      <c r="G253" t="s">
        <v>69</v>
      </c>
      <c r="H253" t="s">
        <v>70</v>
      </c>
      <c r="I253" s="3">
        <v>0.30649999999999999</v>
      </c>
      <c r="J253">
        <v>49</v>
      </c>
    </row>
    <row r="254" spans="1:10">
      <c r="A254">
        <v>2</v>
      </c>
      <c r="B254" t="s">
        <v>7</v>
      </c>
      <c r="C254" t="str">
        <f t="shared" si="3"/>
        <v>Y2Q2</v>
      </c>
      <c r="D254" t="s">
        <v>32</v>
      </c>
      <c r="E254" t="s">
        <v>14</v>
      </c>
      <c r="F254" t="s">
        <v>33</v>
      </c>
      <c r="G254" t="s">
        <v>71</v>
      </c>
      <c r="H254" t="s">
        <v>72</v>
      </c>
      <c r="I254" s="3">
        <v>0.20019999999999999</v>
      </c>
      <c r="J254">
        <v>32</v>
      </c>
    </row>
    <row r="255" spans="1:10">
      <c r="A255">
        <v>2</v>
      </c>
      <c r="B255" t="s">
        <v>7</v>
      </c>
      <c r="C255" t="str">
        <f t="shared" si="3"/>
        <v>Y2Q2</v>
      </c>
      <c r="D255" t="s">
        <v>32</v>
      </c>
      <c r="E255" t="s">
        <v>14</v>
      </c>
      <c r="F255" t="s">
        <v>33</v>
      </c>
      <c r="G255" t="s">
        <v>73</v>
      </c>
      <c r="H255" t="s">
        <v>74</v>
      </c>
      <c r="I255" s="3">
        <v>0.1072</v>
      </c>
      <c r="J255">
        <v>17</v>
      </c>
    </row>
    <row r="256" spans="1:10">
      <c r="A256">
        <v>2</v>
      </c>
      <c r="B256" t="s">
        <v>7</v>
      </c>
      <c r="C256" t="str">
        <f t="shared" si="3"/>
        <v>Y2Q2</v>
      </c>
      <c r="D256" t="s">
        <v>35</v>
      </c>
      <c r="E256" t="s">
        <v>14</v>
      </c>
      <c r="F256" t="s">
        <v>36</v>
      </c>
      <c r="G256" t="s">
        <v>69</v>
      </c>
      <c r="H256" t="s">
        <v>75</v>
      </c>
      <c r="I256" s="3">
        <v>0.52800000000000002</v>
      </c>
      <c r="J256">
        <v>46</v>
      </c>
    </row>
    <row r="257" spans="1:10">
      <c r="A257">
        <v>2</v>
      </c>
      <c r="B257" t="s">
        <v>7</v>
      </c>
      <c r="C257" t="str">
        <f t="shared" si="3"/>
        <v>Y2Q2</v>
      </c>
      <c r="D257" t="s">
        <v>35</v>
      </c>
      <c r="E257" t="s">
        <v>14</v>
      </c>
      <c r="F257" t="s">
        <v>36</v>
      </c>
      <c r="G257" t="s">
        <v>67</v>
      </c>
      <c r="H257" t="s">
        <v>76</v>
      </c>
      <c r="I257" s="3">
        <v>0.31609999999999999</v>
      </c>
      <c r="J257">
        <v>28</v>
      </c>
    </row>
    <row r="258" spans="1:10">
      <c r="A258">
        <v>2</v>
      </c>
      <c r="B258" t="s">
        <v>7</v>
      </c>
      <c r="C258" t="str">
        <f t="shared" si="3"/>
        <v>Y2Q2</v>
      </c>
      <c r="D258" t="s">
        <v>35</v>
      </c>
      <c r="E258" t="s">
        <v>14</v>
      </c>
      <c r="F258" t="s">
        <v>36</v>
      </c>
      <c r="G258" t="s">
        <v>73</v>
      </c>
      <c r="H258" t="s">
        <v>77</v>
      </c>
      <c r="I258" s="3">
        <v>0.15590000000000001</v>
      </c>
      <c r="J258">
        <v>14</v>
      </c>
    </row>
    <row r="259" spans="1:10">
      <c r="A259">
        <v>2</v>
      </c>
      <c r="B259" t="s">
        <v>7</v>
      </c>
      <c r="C259" t="str">
        <f t="shared" ref="C259:C322" si="4">"Y"&amp;A259&amp;B259</f>
        <v>Y2Q2</v>
      </c>
      <c r="D259" t="s">
        <v>38</v>
      </c>
      <c r="E259" t="s">
        <v>17</v>
      </c>
      <c r="F259" t="s">
        <v>39</v>
      </c>
      <c r="G259" t="s">
        <v>71</v>
      </c>
      <c r="H259" t="s">
        <v>78</v>
      </c>
      <c r="I259" s="3">
        <v>0.36670000000000003</v>
      </c>
      <c r="J259">
        <v>94</v>
      </c>
    </row>
    <row r="260" spans="1:10">
      <c r="A260">
        <v>2</v>
      </c>
      <c r="B260" t="s">
        <v>7</v>
      </c>
      <c r="C260" t="str">
        <f t="shared" si="4"/>
        <v>Y2Q2</v>
      </c>
      <c r="D260" t="s">
        <v>38</v>
      </c>
      <c r="E260" t="s">
        <v>17</v>
      </c>
      <c r="F260" t="s">
        <v>39</v>
      </c>
      <c r="G260" t="s">
        <v>79</v>
      </c>
      <c r="H260" t="s">
        <v>80</v>
      </c>
      <c r="I260" s="3">
        <v>0.24740000000000001</v>
      </c>
      <c r="J260">
        <v>64</v>
      </c>
    </row>
    <row r="261" spans="1:10">
      <c r="A261">
        <v>2</v>
      </c>
      <c r="B261" t="s">
        <v>7</v>
      </c>
      <c r="C261" t="str">
        <f t="shared" si="4"/>
        <v>Y2Q2</v>
      </c>
      <c r="D261" t="s">
        <v>38</v>
      </c>
      <c r="E261" t="s">
        <v>17</v>
      </c>
      <c r="F261" t="s">
        <v>39</v>
      </c>
      <c r="G261" t="s">
        <v>67</v>
      </c>
      <c r="H261" t="s">
        <v>81</v>
      </c>
      <c r="I261" s="3">
        <v>0.18779999999999999</v>
      </c>
      <c r="J261">
        <v>48</v>
      </c>
    </row>
    <row r="262" spans="1:10">
      <c r="A262">
        <v>2</v>
      </c>
      <c r="B262" t="s">
        <v>7</v>
      </c>
      <c r="C262" t="str">
        <f t="shared" si="4"/>
        <v>Y2Q2</v>
      </c>
      <c r="D262" t="s">
        <v>38</v>
      </c>
      <c r="E262" t="s">
        <v>17</v>
      </c>
      <c r="F262" t="s">
        <v>39</v>
      </c>
      <c r="G262" t="s">
        <v>69</v>
      </c>
      <c r="H262" t="s">
        <v>82</v>
      </c>
      <c r="I262" s="3">
        <v>0.1187</v>
      </c>
      <c r="J262">
        <v>30</v>
      </c>
    </row>
    <row r="263" spans="1:10">
      <c r="A263">
        <v>2</v>
      </c>
      <c r="B263" t="s">
        <v>7</v>
      </c>
      <c r="C263" t="str">
        <f t="shared" si="4"/>
        <v>Y2Q2</v>
      </c>
      <c r="D263" t="s">
        <v>38</v>
      </c>
      <c r="E263" t="s">
        <v>17</v>
      </c>
      <c r="F263" t="s">
        <v>39</v>
      </c>
      <c r="G263" t="s">
        <v>73</v>
      </c>
      <c r="H263" t="s">
        <v>83</v>
      </c>
      <c r="I263" s="3">
        <v>7.9500000000000001E-2</v>
      </c>
      <c r="J263">
        <v>21</v>
      </c>
    </row>
    <row r="264" spans="1:10">
      <c r="A264">
        <v>2</v>
      </c>
      <c r="B264" t="s">
        <v>7</v>
      </c>
      <c r="C264" t="str">
        <f t="shared" si="4"/>
        <v>Y2Q2</v>
      </c>
      <c r="D264" t="s">
        <v>41</v>
      </c>
      <c r="E264" t="s">
        <v>17</v>
      </c>
      <c r="F264" t="s">
        <v>33</v>
      </c>
      <c r="G264" t="s">
        <v>67</v>
      </c>
      <c r="H264" t="s">
        <v>68</v>
      </c>
      <c r="I264" s="3">
        <v>0.3024</v>
      </c>
      <c r="J264">
        <v>33</v>
      </c>
    </row>
    <row r="265" spans="1:10">
      <c r="A265">
        <v>2</v>
      </c>
      <c r="B265" t="s">
        <v>7</v>
      </c>
      <c r="C265" t="str">
        <f t="shared" si="4"/>
        <v>Y2Q2</v>
      </c>
      <c r="D265" t="s">
        <v>41</v>
      </c>
      <c r="E265" t="s">
        <v>17</v>
      </c>
      <c r="F265" t="s">
        <v>33</v>
      </c>
      <c r="G265" t="s">
        <v>69</v>
      </c>
      <c r="H265" t="s">
        <v>70</v>
      </c>
      <c r="I265" s="3">
        <v>0.2848</v>
      </c>
      <c r="J265">
        <v>31</v>
      </c>
    </row>
    <row r="266" spans="1:10">
      <c r="A266">
        <v>2</v>
      </c>
      <c r="B266" t="s">
        <v>7</v>
      </c>
      <c r="C266" t="str">
        <f t="shared" si="4"/>
        <v>Y2Q2</v>
      </c>
      <c r="D266" t="s">
        <v>41</v>
      </c>
      <c r="E266" t="s">
        <v>17</v>
      </c>
      <c r="F266" t="s">
        <v>33</v>
      </c>
      <c r="G266" t="s">
        <v>71</v>
      </c>
      <c r="H266" t="s">
        <v>72</v>
      </c>
      <c r="I266" s="3">
        <v>0.2263</v>
      </c>
      <c r="J266">
        <v>25</v>
      </c>
    </row>
    <row r="267" spans="1:10">
      <c r="A267">
        <v>2</v>
      </c>
      <c r="B267" t="s">
        <v>7</v>
      </c>
      <c r="C267" t="str">
        <f t="shared" si="4"/>
        <v>Y2Q2</v>
      </c>
      <c r="D267" t="s">
        <v>41</v>
      </c>
      <c r="E267" t="s">
        <v>17</v>
      </c>
      <c r="F267" t="s">
        <v>33</v>
      </c>
      <c r="G267" t="s">
        <v>73</v>
      </c>
      <c r="H267" t="s">
        <v>74</v>
      </c>
      <c r="I267" s="3">
        <v>0.1865</v>
      </c>
      <c r="J267">
        <v>20</v>
      </c>
    </row>
    <row r="268" spans="1:10">
      <c r="A268">
        <v>2</v>
      </c>
      <c r="B268" t="s">
        <v>7</v>
      </c>
      <c r="C268" t="str">
        <f t="shared" si="4"/>
        <v>Y2Q2</v>
      </c>
      <c r="D268" t="s">
        <v>42</v>
      </c>
      <c r="E268" t="s">
        <v>17</v>
      </c>
      <c r="F268" t="s">
        <v>43</v>
      </c>
      <c r="G268" t="s">
        <v>79</v>
      </c>
      <c r="H268" t="s">
        <v>84</v>
      </c>
      <c r="I268" s="3">
        <v>0.65529999999999999</v>
      </c>
      <c r="J268">
        <v>83</v>
      </c>
    </row>
    <row r="269" spans="1:10">
      <c r="A269">
        <v>2</v>
      </c>
      <c r="B269" t="s">
        <v>7</v>
      </c>
      <c r="C269" t="str">
        <f t="shared" si="4"/>
        <v>Y2Q2</v>
      </c>
      <c r="D269" t="s">
        <v>42</v>
      </c>
      <c r="E269" t="s">
        <v>17</v>
      </c>
      <c r="F269" t="s">
        <v>43</v>
      </c>
      <c r="G269" t="s">
        <v>69</v>
      </c>
      <c r="H269" t="s">
        <v>85</v>
      </c>
      <c r="I269" s="3">
        <v>0.2336</v>
      </c>
      <c r="J269">
        <v>29</v>
      </c>
    </row>
    <row r="270" spans="1:10">
      <c r="A270">
        <v>2</v>
      </c>
      <c r="B270" t="s">
        <v>7</v>
      </c>
      <c r="C270" t="str">
        <f t="shared" si="4"/>
        <v>Y2Q2</v>
      </c>
      <c r="D270" t="s">
        <v>42</v>
      </c>
      <c r="E270" t="s">
        <v>17</v>
      </c>
      <c r="F270" t="s">
        <v>43</v>
      </c>
      <c r="G270" t="s">
        <v>71</v>
      </c>
      <c r="H270" t="s">
        <v>86</v>
      </c>
      <c r="I270" s="3">
        <v>0.1111</v>
      </c>
      <c r="J270">
        <v>14</v>
      </c>
    </row>
    <row r="271" spans="1:10">
      <c r="A271">
        <v>2</v>
      </c>
      <c r="B271" t="s">
        <v>7</v>
      </c>
      <c r="C271" t="str">
        <f t="shared" si="4"/>
        <v>Y2Q2</v>
      </c>
      <c r="D271" t="s">
        <v>45</v>
      </c>
      <c r="E271" t="s">
        <v>20</v>
      </c>
      <c r="F271" t="s">
        <v>46</v>
      </c>
      <c r="G271" t="s">
        <v>69</v>
      </c>
      <c r="H271" t="s">
        <v>87</v>
      </c>
      <c r="I271" s="3">
        <v>0.31440000000000001</v>
      </c>
      <c r="J271">
        <v>40</v>
      </c>
    </row>
    <row r="272" spans="1:10">
      <c r="A272">
        <v>2</v>
      </c>
      <c r="B272" t="s">
        <v>7</v>
      </c>
      <c r="C272" t="str">
        <f t="shared" si="4"/>
        <v>Y2Q2</v>
      </c>
      <c r="D272" t="s">
        <v>45</v>
      </c>
      <c r="E272" t="s">
        <v>20</v>
      </c>
      <c r="F272" t="s">
        <v>46</v>
      </c>
      <c r="G272" t="s">
        <v>79</v>
      </c>
      <c r="H272" t="s">
        <v>88</v>
      </c>
      <c r="I272" s="3">
        <v>0.32029999999999997</v>
      </c>
      <c r="J272">
        <v>40</v>
      </c>
    </row>
    <row r="273" spans="1:10">
      <c r="A273">
        <v>2</v>
      </c>
      <c r="B273" t="s">
        <v>7</v>
      </c>
      <c r="C273" t="str">
        <f t="shared" si="4"/>
        <v>Y2Q2</v>
      </c>
      <c r="D273" t="s">
        <v>45</v>
      </c>
      <c r="E273" t="s">
        <v>20</v>
      </c>
      <c r="F273" t="s">
        <v>46</v>
      </c>
      <c r="G273" t="s">
        <v>67</v>
      </c>
      <c r="H273" t="s">
        <v>89</v>
      </c>
      <c r="I273" s="3">
        <v>0.23769999999999999</v>
      </c>
      <c r="J273">
        <v>30</v>
      </c>
    </row>
    <row r="274" spans="1:10">
      <c r="A274">
        <v>2</v>
      </c>
      <c r="B274" t="s">
        <v>7</v>
      </c>
      <c r="C274" t="str">
        <f t="shared" si="4"/>
        <v>Y2Q2</v>
      </c>
      <c r="D274" t="s">
        <v>45</v>
      </c>
      <c r="E274" t="s">
        <v>20</v>
      </c>
      <c r="F274" t="s">
        <v>46</v>
      </c>
      <c r="G274" t="s">
        <v>71</v>
      </c>
      <c r="H274" t="s">
        <v>90</v>
      </c>
      <c r="I274" s="3">
        <v>0.12759999999999999</v>
      </c>
      <c r="J274">
        <v>16</v>
      </c>
    </row>
    <row r="275" spans="1:10">
      <c r="A275">
        <v>2</v>
      </c>
      <c r="B275" t="s">
        <v>7</v>
      </c>
      <c r="C275" t="str">
        <f t="shared" si="4"/>
        <v>Y2Q2</v>
      </c>
      <c r="D275" t="s">
        <v>48</v>
      </c>
      <c r="E275" t="s">
        <v>20</v>
      </c>
      <c r="F275" t="s">
        <v>36</v>
      </c>
      <c r="G275" t="s">
        <v>69</v>
      </c>
      <c r="H275" t="s">
        <v>75</v>
      </c>
      <c r="I275" s="3">
        <v>0.5917</v>
      </c>
      <c r="J275">
        <v>54</v>
      </c>
    </row>
    <row r="276" spans="1:10">
      <c r="A276">
        <v>2</v>
      </c>
      <c r="B276" t="s">
        <v>7</v>
      </c>
      <c r="C276" t="str">
        <f t="shared" si="4"/>
        <v>Y2Q2</v>
      </c>
      <c r="D276" t="s">
        <v>48</v>
      </c>
      <c r="E276" t="s">
        <v>20</v>
      </c>
      <c r="F276" t="s">
        <v>36</v>
      </c>
      <c r="G276" t="s">
        <v>67</v>
      </c>
      <c r="H276" t="s">
        <v>76</v>
      </c>
      <c r="I276" s="3">
        <v>0.27229999999999999</v>
      </c>
      <c r="J276">
        <v>25</v>
      </c>
    </row>
    <row r="277" spans="1:10">
      <c r="A277">
        <v>2</v>
      </c>
      <c r="B277" t="s">
        <v>7</v>
      </c>
      <c r="C277" t="str">
        <f t="shared" si="4"/>
        <v>Y2Q2</v>
      </c>
      <c r="D277" t="s">
        <v>48</v>
      </c>
      <c r="E277" t="s">
        <v>20</v>
      </c>
      <c r="F277" t="s">
        <v>36</v>
      </c>
      <c r="G277" t="s">
        <v>73</v>
      </c>
      <c r="H277" t="s">
        <v>77</v>
      </c>
      <c r="I277" s="3">
        <v>0.13600000000000001</v>
      </c>
      <c r="J277">
        <v>12</v>
      </c>
    </row>
    <row r="278" spans="1:10">
      <c r="A278">
        <v>2</v>
      </c>
      <c r="B278" t="s">
        <v>7</v>
      </c>
      <c r="C278" t="str">
        <f t="shared" si="4"/>
        <v>Y2Q2</v>
      </c>
      <c r="D278" t="s">
        <v>49</v>
      </c>
      <c r="E278" t="s">
        <v>20</v>
      </c>
      <c r="F278" t="s">
        <v>50</v>
      </c>
      <c r="G278" t="s">
        <v>79</v>
      </c>
      <c r="H278" t="s">
        <v>91</v>
      </c>
      <c r="I278" s="3">
        <v>0.58009999999999995</v>
      </c>
      <c r="J278">
        <v>49</v>
      </c>
    </row>
    <row r="279" spans="1:10">
      <c r="A279">
        <v>2</v>
      </c>
      <c r="B279" t="s">
        <v>7</v>
      </c>
      <c r="C279" t="str">
        <f t="shared" si="4"/>
        <v>Y2Q2</v>
      </c>
      <c r="D279" t="s">
        <v>49</v>
      </c>
      <c r="E279" t="s">
        <v>20</v>
      </c>
      <c r="F279" t="s">
        <v>50</v>
      </c>
      <c r="G279" t="s">
        <v>73</v>
      </c>
      <c r="H279" t="s">
        <v>92</v>
      </c>
      <c r="I279" s="3">
        <v>0.26240000000000002</v>
      </c>
      <c r="J279">
        <v>22</v>
      </c>
    </row>
    <row r="280" spans="1:10">
      <c r="A280">
        <v>2</v>
      </c>
      <c r="B280" t="s">
        <v>7</v>
      </c>
      <c r="C280" t="str">
        <f t="shared" si="4"/>
        <v>Y2Q2</v>
      </c>
      <c r="D280" t="s">
        <v>49</v>
      </c>
      <c r="E280" t="s">
        <v>20</v>
      </c>
      <c r="F280" t="s">
        <v>50</v>
      </c>
      <c r="G280" t="s">
        <v>71</v>
      </c>
      <c r="H280" t="s">
        <v>93</v>
      </c>
      <c r="I280" s="3">
        <v>0.1575</v>
      </c>
      <c r="J280">
        <v>13</v>
      </c>
    </row>
    <row r="281" spans="1:10">
      <c r="A281">
        <v>2</v>
      </c>
      <c r="B281" t="s">
        <v>7</v>
      </c>
      <c r="C281" t="str">
        <f t="shared" si="4"/>
        <v>Y2Q2</v>
      </c>
      <c r="D281" t="s">
        <v>52</v>
      </c>
      <c r="E281" t="s">
        <v>23</v>
      </c>
      <c r="F281" t="s">
        <v>39</v>
      </c>
      <c r="G281" t="s">
        <v>71</v>
      </c>
      <c r="H281" t="s">
        <v>78</v>
      </c>
      <c r="I281" s="3">
        <v>0.33310000000000001</v>
      </c>
      <c r="J281">
        <v>22</v>
      </c>
    </row>
    <row r="282" spans="1:10">
      <c r="A282">
        <v>2</v>
      </c>
      <c r="B282" t="s">
        <v>7</v>
      </c>
      <c r="C282" t="str">
        <f t="shared" si="4"/>
        <v>Y2Q2</v>
      </c>
      <c r="D282" t="s">
        <v>52</v>
      </c>
      <c r="E282" t="s">
        <v>23</v>
      </c>
      <c r="F282" t="s">
        <v>39</v>
      </c>
      <c r="G282" t="s">
        <v>79</v>
      </c>
      <c r="H282" t="s">
        <v>80</v>
      </c>
      <c r="I282" s="3">
        <v>0.2369</v>
      </c>
      <c r="J282">
        <v>16</v>
      </c>
    </row>
    <row r="283" spans="1:10">
      <c r="A283">
        <v>2</v>
      </c>
      <c r="B283" t="s">
        <v>7</v>
      </c>
      <c r="C283" t="str">
        <f t="shared" si="4"/>
        <v>Y2Q2</v>
      </c>
      <c r="D283" t="s">
        <v>52</v>
      </c>
      <c r="E283" t="s">
        <v>23</v>
      </c>
      <c r="F283" t="s">
        <v>39</v>
      </c>
      <c r="G283" t="s">
        <v>73</v>
      </c>
      <c r="H283" t="s">
        <v>83</v>
      </c>
      <c r="I283" s="3">
        <v>0.19109999999999999</v>
      </c>
      <c r="J283">
        <v>13</v>
      </c>
    </row>
    <row r="284" spans="1:10">
      <c r="A284">
        <v>2</v>
      </c>
      <c r="B284" t="s">
        <v>7</v>
      </c>
      <c r="C284" t="str">
        <f t="shared" si="4"/>
        <v>Y2Q2</v>
      </c>
      <c r="D284" t="s">
        <v>52</v>
      </c>
      <c r="E284" t="s">
        <v>23</v>
      </c>
      <c r="F284" t="s">
        <v>39</v>
      </c>
      <c r="G284" t="s">
        <v>67</v>
      </c>
      <c r="H284" t="s">
        <v>81</v>
      </c>
      <c r="I284" s="3">
        <v>0.1227</v>
      </c>
      <c r="J284">
        <v>8</v>
      </c>
    </row>
    <row r="285" spans="1:10">
      <c r="A285">
        <v>2</v>
      </c>
      <c r="B285" t="s">
        <v>7</v>
      </c>
      <c r="C285" t="str">
        <f t="shared" si="4"/>
        <v>Y2Q2</v>
      </c>
      <c r="D285" t="s">
        <v>52</v>
      </c>
      <c r="E285" t="s">
        <v>23</v>
      </c>
      <c r="F285" t="s">
        <v>39</v>
      </c>
      <c r="G285" t="s">
        <v>69</v>
      </c>
      <c r="H285" t="s">
        <v>82</v>
      </c>
      <c r="I285" s="3">
        <v>0.1162</v>
      </c>
      <c r="J285">
        <v>8</v>
      </c>
    </row>
    <row r="286" spans="1:10">
      <c r="A286">
        <v>2</v>
      </c>
      <c r="B286" t="s">
        <v>7</v>
      </c>
      <c r="C286" t="str">
        <f t="shared" si="4"/>
        <v>Y2Q2</v>
      </c>
      <c r="D286" t="s">
        <v>53</v>
      </c>
      <c r="E286" t="s">
        <v>23</v>
      </c>
      <c r="F286" t="s">
        <v>54</v>
      </c>
      <c r="G286" t="s">
        <v>73</v>
      </c>
      <c r="H286" t="s">
        <v>94</v>
      </c>
      <c r="I286" s="3">
        <v>0.5484</v>
      </c>
      <c r="J286">
        <v>46</v>
      </c>
    </row>
    <row r="287" spans="1:10">
      <c r="A287">
        <v>2</v>
      </c>
      <c r="B287" t="s">
        <v>7</v>
      </c>
      <c r="C287" t="str">
        <f t="shared" si="4"/>
        <v>Y2Q2</v>
      </c>
      <c r="D287" t="s">
        <v>53</v>
      </c>
      <c r="E287" t="s">
        <v>23</v>
      </c>
      <c r="F287" t="s">
        <v>54</v>
      </c>
      <c r="G287" t="s">
        <v>79</v>
      </c>
      <c r="H287" t="s">
        <v>95</v>
      </c>
      <c r="I287" s="3">
        <v>0.28999999999999998</v>
      </c>
      <c r="J287">
        <v>24</v>
      </c>
    </row>
    <row r="288" spans="1:10">
      <c r="A288">
        <v>2</v>
      </c>
      <c r="B288" t="s">
        <v>7</v>
      </c>
      <c r="C288" t="str">
        <f t="shared" si="4"/>
        <v>Y2Q2</v>
      </c>
      <c r="D288" t="s">
        <v>53</v>
      </c>
      <c r="E288" t="s">
        <v>23</v>
      </c>
      <c r="F288" t="s">
        <v>54</v>
      </c>
      <c r="G288" t="s">
        <v>67</v>
      </c>
      <c r="H288" t="s">
        <v>96</v>
      </c>
      <c r="I288" s="3">
        <v>0.16159999999999999</v>
      </c>
      <c r="J288">
        <v>13</v>
      </c>
    </row>
    <row r="289" spans="1:10">
      <c r="A289">
        <v>2</v>
      </c>
      <c r="B289" t="s">
        <v>7</v>
      </c>
      <c r="C289" t="str">
        <f t="shared" si="4"/>
        <v>Y2Q2</v>
      </c>
      <c r="D289" t="s">
        <v>56</v>
      </c>
      <c r="E289" t="s">
        <v>23</v>
      </c>
      <c r="F289" t="s">
        <v>50</v>
      </c>
      <c r="G289" t="s">
        <v>79</v>
      </c>
      <c r="H289" t="s">
        <v>91</v>
      </c>
      <c r="I289" s="3">
        <v>0.4844</v>
      </c>
      <c r="J289">
        <v>30</v>
      </c>
    </row>
    <row r="290" spans="1:10">
      <c r="A290">
        <v>2</v>
      </c>
      <c r="B290" t="s">
        <v>7</v>
      </c>
      <c r="C290" t="str">
        <f t="shared" si="4"/>
        <v>Y2Q2</v>
      </c>
      <c r="D290" t="s">
        <v>56</v>
      </c>
      <c r="E290" t="s">
        <v>23</v>
      </c>
      <c r="F290" t="s">
        <v>50</v>
      </c>
      <c r="G290" t="s">
        <v>73</v>
      </c>
      <c r="H290" t="s">
        <v>92</v>
      </c>
      <c r="I290" s="3">
        <v>0.39090000000000003</v>
      </c>
      <c r="J290">
        <v>24</v>
      </c>
    </row>
    <row r="291" spans="1:10">
      <c r="A291">
        <v>2</v>
      </c>
      <c r="B291" t="s">
        <v>7</v>
      </c>
      <c r="C291" t="str">
        <f t="shared" si="4"/>
        <v>Y2Q2</v>
      </c>
      <c r="D291" t="s">
        <v>56</v>
      </c>
      <c r="E291" t="s">
        <v>23</v>
      </c>
      <c r="F291" t="s">
        <v>50</v>
      </c>
      <c r="G291" t="s">
        <v>71</v>
      </c>
      <c r="H291" t="s">
        <v>93</v>
      </c>
      <c r="I291" s="3">
        <v>0.12470000000000001</v>
      </c>
      <c r="J291">
        <v>7</v>
      </c>
    </row>
    <row r="292" spans="1:10">
      <c r="A292">
        <v>2</v>
      </c>
      <c r="B292" t="s">
        <v>7</v>
      </c>
      <c r="C292" t="str">
        <f t="shared" si="4"/>
        <v>Y2Q2</v>
      </c>
      <c r="D292" t="s">
        <v>57</v>
      </c>
      <c r="E292" t="s">
        <v>23</v>
      </c>
      <c r="F292" t="s">
        <v>43</v>
      </c>
      <c r="G292" t="s">
        <v>79</v>
      </c>
      <c r="H292" t="s">
        <v>84</v>
      </c>
      <c r="I292" s="3">
        <v>0.69689999999999996</v>
      </c>
      <c r="J292">
        <v>31</v>
      </c>
    </row>
    <row r="293" spans="1:10">
      <c r="A293">
        <v>2</v>
      </c>
      <c r="B293" t="s">
        <v>7</v>
      </c>
      <c r="C293" t="str">
        <f t="shared" si="4"/>
        <v>Y2Q2</v>
      </c>
      <c r="D293" t="s">
        <v>57</v>
      </c>
      <c r="E293" t="s">
        <v>23</v>
      </c>
      <c r="F293" t="s">
        <v>43</v>
      </c>
      <c r="G293" t="s">
        <v>69</v>
      </c>
      <c r="H293" t="s">
        <v>85</v>
      </c>
      <c r="I293" s="3">
        <v>0.16769999999999999</v>
      </c>
      <c r="J293">
        <v>8</v>
      </c>
    </row>
    <row r="294" spans="1:10">
      <c r="A294">
        <v>2</v>
      </c>
      <c r="B294" t="s">
        <v>7</v>
      </c>
      <c r="C294" t="str">
        <f t="shared" si="4"/>
        <v>Y2Q2</v>
      </c>
      <c r="D294" t="s">
        <v>57</v>
      </c>
      <c r="E294" t="s">
        <v>23</v>
      </c>
      <c r="F294" t="s">
        <v>43</v>
      </c>
      <c r="G294" t="s">
        <v>71</v>
      </c>
      <c r="H294" t="s">
        <v>86</v>
      </c>
      <c r="I294" s="3">
        <v>0.13539999999999999</v>
      </c>
      <c r="J294">
        <v>6</v>
      </c>
    </row>
    <row r="295" spans="1:10">
      <c r="A295">
        <v>2</v>
      </c>
      <c r="B295" t="s">
        <v>7</v>
      </c>
      <c r="C295" t="str">
        <f t="shared" si="4"/>
        <v>Y2Q2</v>
      </c>
      <c r="D295" t="s">
        <v>58</v>
      </c>
      <c r="E295" t="s">
        <v>26</v>
      </c>
      <c r="F295" t="s">
        <v>46</v>
      </c>
      <c r="G295" t="s">
        <v>69</v>
      </c>
      <c r="H295" t="s">
        <v>87</v>
      </c>
      <c r="I295" s="3">
        <v>0.3967</v>
      </c>
      <c r="J295">
        <v>44</v>
      </c>
    </row>
    <row r="296" spans="1:10">
      <c r="A296">
        <v>2</v>
      </c>
      <c r="B296" t="s">
        <v>7</v>
      </c>
      <c r="C296" t="str">
        <f t="shared" si="4"/>
        <v>Y2Q2</v>
      </c>
      <c r="D296" t="s">
        <v>58</v>
      </c>
      <c r="E296" t="s">
        <v>26</v>
      </c>
      <c r="F296" t="s">
        <v>46</v>
      </c>
      <c r="G296" t="s">
        <v>67</v>
      </c>
      <c r="H296" t="s">
        <v>89</v>
      </c>
      <c r="I296" s="3">
        <v>0.30520000000000003</v>
      </c>
      <c r="J296">
        <v>34</v>
      </c>
    </row>
    <row r="297" spans="1:10">
      <c r="A297">
        <v>2</v>
      </c>
      <c r="B297" t="s">
        <v>7</v>
      </c>
      <c r="C297" t="str">
        <f t="shared" si="4"/>
        <v>Y2Q2</v>
      </c>
      <c r="D297" t="s">
        <v>58</v>
      </c>
      <c r="E297" t="s">
        <v>26</v>
      </c>
      <c r="F297" t="s">
        <v>46</v>
      </c>
      <c r="G297" t="s">
        <v>79</v>
      </c>
      <c r="H297" t="s">
        <v>88</v>
      </c>
      <c r="I297" s="3">
        <v>0.2195</v>
      </c>
      <c r="J297">
        <v>24</v>
      </c>
    </row>
    <row r="298" spans="1:10">
      <c r="A298">
        <v>2</v>
      </c>
      <c r="B298" t="s">
        <v>7</v>
      </c>
      <c r="C298" t="str">
        <f t="shared" si="4"/>
        <v>Y2Q2</v>
      </c>
      <c r="D298" t="s">
        <v>58</v>
      </c>
      <c r="E298" t="s">
        <v>26</v>
      </c>
      <c r="F298" t="s">
        <v>46</v>
      </c>
      <c r="G298" t="s">
        <v>71</v>
      </c>
      <c r="H298" t="s">
        <v>90</v>
      </c>
      <c r="I298" s="3">
        <v>7.8600000000000003E-2</v>
      </c>
      <c r="J298">
        <v>8</v>
      </c>
    </row>
    <row r="299" spans="1:10">
      <c r="A299">
        <v>2</v>
      </c>
      <c r="B299" t="s">
        <v>7</v>
      </c>
      <c r="C299" t="str">
        <f t="shared" si="4"/>
        <v>Y2Q2</v>
      </c>
      <c r="D299" t="s">
        <v>59</v>
      </c>
      <c r="E299" t="s">
        <v>26</v>
      </c>
      <c r="F299" t="s">
        <v>54</v>
      </c>
      <c r="G299" t="s">
        <v>73</v>
      </c>
      <c r="H299" t="s">
        <v>94</v>
      </c>
      <c r="I299" s="3">
        <v>0.4299</v>
      </c>
      <c r="J299">
        <v>30</v>
      </c>
    </row>
    <row r="300" spans="1:10">
      <c r="A300">
        <v>2</v>
      </c>
      <c r="B300" t="s">
        <v>7</v>
      </c>
      <c r="C300" t="str">
        <f t="shared" si="4"/>
        <v>Y2Q2</v>
      </c>
      <c r="D300" t="s">
        <v>59</v>
      </c>
      <c r="E300" t="s">
        <v>26</v>
      </c>
      <c r="F300" t="s">
        <v>54</v>
      </c>
      <c r="G300" t="s">
        <v>79</v>
      </c>
      <c r="H300" t="s">
        <v>95</v>
      </c>
      <c r="I300" s="3">
        <v>0.33989999999999998</v>
      </c>
      <c r="J300">
        <v>24</v>
      </c>
    </row>
    <row r="301" spans="1:10">
      <c r="A301">
        <v>2</v>
      </c>
      <c r="B301" t="s">
        <v>7</v>
      </c>
      <c r="C301" t="str">
        <f t="shared" si="4"/>
        <v>Y2Q2</v>
      </c>
      <c r="D301" t="s">
        <v>59</v>
      </c>
      <c r="E301" t="s">
        <v>26</v>
      </c>
      <c r="F301" t="s">
        <v>54</v>
      </c>
      <c r="G301" t="s">
        <v>67</v>
      </c>
      <c r="H301" t="s">
        <v>96</v>
      </c>
      <c r="I301" s="3">
        <v>0.23019999999999999</v>
      </c>
      <c r="J301">
        <v>16</v>
      </c>
    </row>
    <row r="302" spans="1:10">
      <c r="A302">
        <v>2</v>
      </c>
      <c r="B302" t="s">
        <v>8</v>
      </c>
      <c r="C302" t="str">
        <f t="shared" si="4"/>
        <v>Y2Q3</v>
      </c>
      <c r="D302" t="s">
        <v>32</v>
      </c>
      <c r="E302" t="s">
        <v>14</v>
      </c>
      <c r="F302" t="s">
        <v>33</v>
      </c>
      <c r="G302" t="s">
        <v>67</v>
      </c>
      <c r="H302" t="s">
        <v>68</v>
      </c>
      <c r="I302" s="3">
        <v>0.37240000000000001</v>
      </c>
      <c r="J302">
        <v>64</v>
      </c>
    </row>
    <row r="303" spans="1:10">
      <c r="A303">
        <v>2</v>
      </c>
      <c r="B303" t="s">
        <v>8</v>
      </c>
      <c r="C303" t="str">
        <f t="shared" si="4"/>
        <v>Y2Q3</v>
      </c>
      <c r="D303" t="s">
        <v>32</v>
      </c>
      <c r="E303" t="s">
        <v>14</v>
      </c>
      <c r="F303" t="s">
        <v>33</v>
      </c>
      <c r="G303" t="s">
        <v>69</v>
      </c>
      <c r="H303" t="s">
        <v>70</v>
      </c>
      <c r="I303" s="3">
        <v>0.32379999999999998</v>
      </c>
      <c r="J303">
        <v>56</v>
      </c>
    </row>
    <row r="304" spans="1:10">
      <c r="A304">
        <v>2</v>
      </c>
      <c r="B304" t="s">
        <v>8</v>
      </c>
      <c r="C304" t="str">
        <f t="shared" si="4"/>
        <v>Y2Q3</v>
      </c>
      <c r="D304" t="s">
        <v>32</v>
      </c>
      <c r="E304" t="s">
        <v>14</v>
      </c>
      <c r="F304" t="s">
        <v>33</v>
      </c>
      <c r="G304" t="s">
        <v>71</v>
      </c>
      <c r="H304" t="s">
        <v>72</v>
      </c>
      <c r="I304" s="3">
        <v>0.18390000000000001</v>
      </c>
      <c r="J304">
        <v>32</v>
      </c>
    </row>
    <row r="305" spans="1:10">
      <c r="A305">
        <v>2</v>
      </c>
      <c r="B305" t="s">
        <v>8</v>
      </c>
      <c r="C305" t="str">
        <f t="shared" si="4"/>
        <v>Y2Q3</v>
      </c>
      <c r="D305" t="s">
        <v>32</v>
      </c>
      <c r="E305" t="s">
        <v>14</v>
      </c>
      <c r="F305" t="s">
        <v>33</v>
      </c>
      <c r="G305" t="s">
        <v>73</v>
      </c>
      <c r="H305" t="s">
        <v>74</v>
      </c>
      <c r="I305" s="3">
        <v>0.1198</v>
      </c>
      <c r="J305">
        <v>20</v>
      </c>
    </row>
    <row r="306" spans="1:10">
      <c r="A306">
        <v>2</v>
      </c>
      <c r="B306" t="s">
        <v>8</v>
      </c>
      <c r="C306" t="str">
        <f t="shared" si="4"/>
        <v>Y2Q3</v>
      </c>
      <c r="D306" t="s">
        <v>35</v>
      </c>
      <c r="E306" t="s">
        <v>14</v>
      </c>
      <c r="F306" t="s">
        <v>36</v>
      </c>
      <c r="G306" t="s">
        <v>69</v>
      </c>
      <c r="H306" t="s">
        <v>75</v>
      </c>
      <c r="I306" s="3">
        <v>0.51080000000000003</v>
      </c>
      <c r="J306">
        <v>45</v>
      </c>
    </row>
    <row r="307" spans="1:10">
      <c r="A307">
        <v>2</v>
      </c>
      <c r="B307" t="s">
        <v>8</v>
      </c>
      <c r="C307" t="str">
        <f t="shared" si="4"/>
        <v>Y2Q3</v>
      </c>
      <c r="D307" t="s">
        <v>35</v>
      </c>
      <c r="E307" t="s">
        <v>14</v>
      </c>
      <c r="F307" t="s">
        <v>36</v>
      </c>
      <c r="G307" t="s">
        <v>67</v>
      </c>
      <c r="H307" t="s">
        <v>76</v>
      </c>
      <c r="I307" s="3">
        <v>0.33189999999999997</v>
      </c>
      <c r="J307">
        <v>29</v>
      </c>
    </row>
    <row r="308" spans="1:10">
      <c r="A308">
        <v>2</v>
      </c>
      <c r="B308" t="s">
        <v>8</v>
      </c>
      <c r="C308" t="str">
        <f t="shared" si="4"/>
        <v>Y2Q3</v>
      </c>
      <c r="D308" t="s">
        <v>35</v>
      </c>
      <c r="E308" t="s">
        <v>14</v>
      </c>
      <c r="F308" t="s">
        <v>36</v>
      </c>
      <c r="G308" t="s">
        <v>73</v>
      </c>
      <c r="H308" t="s">
        <v>77</v>
      </c>
      <c r="I308" s="3">
        <v>0.15720000000000001</v>
      </c>
      <c r="J308">
        <v>14</v>
      </c>
    </row>
    <row r="309" spans="1:10">
      <c r="A309">
        <v>2</v>
      </c>
      <c r="B309" t="s">
        <v>8</v>
      </c>
      <c r="C309" t="str">
        <f t="shared" si="4"/>
        <v>Y2Q3</v>
      </c>
      <c r="D309" t="s">
        <v>38</v>
      </c>
      <c r="E309" t="s">
        <v>17</v>
      </c>
      <c r="F309" t="s">
        <v>39</v>
      </c>
      <c r="G309" t="s">
        <v>71</v>
      </c>
      <c r="H309" t="s">
        <v>78</v>
      </c>
      <c r="I309" s="3">
        <v>0.3679</v>
      </c>
      <c r="J309">
        <v>96</v>
      </c>
    </row>
    <row r="310" spans="1:10">
      <c r="A310">
        <v>2</v>
      </c>
      <c r="B310" t="s">
        <v>8</v>
      </c>
      <c r="C310" t="str">
        <f t="shared" si="4"/>
        <v>Y2Q3</v>
      </c>
      <c r="D310" t="s">
        <v>38</v>
      </c>
      <c r="E310" t="s">
        <v>17</v>
      </c>
      <c r="F310" t="s">
        <v>39</v>
      </c>
      <c r="G310" t="s">
        <v>79</v>
      </c>
      <c r="H310" t="s">
        <v>80</v>
      </c>
      <c r="I310" s="3">
        <v>0.2495</v>
      </c>
      <c r="J310">
        <v>65</v>
      </c>
    </row>
    <row r="311" spans="1:10">
      <c r="A311">
        <v>2</v>
      </c>
      <c r="B311" t="s">
        <v>8</v>
      </c>
      <c r="C311" t="str">
        <f t="shared" si="4"/>
        <v>Y2Q3</v>
      </c>
      <c r="D311" t="s">
        <v>38</v>
      </c>
      <c r="E311" t="s">
        <v>17</v>
      </c>
      <c r="F311" t="s">
        <v>39</v>
      </c>
      <c r="G311" t="s">
        <v>67</v>
      </c>
      <c r="H311" t="s">
        <v>81</v>
      </c>
      <c r="I311" s="3">
        <v>0.1888</v>
      </c>
      <c r="J311">
        <v>49</v>
      </c>
    </row>
    <row r="312" spans="1:10">
      <c r="A312">
        <v>2</v>
      </c>
      <c r="B312" t="s">
        <v>8</v>
      </c>
      <c r="C312" t="str">
        <f t="shared" si="4"/>
        <v>Y2Q3</v>
      </c>
      <c r="D312" t="s">
        <v>38</v>
      </c>
      <c r="E312" t="s">
        <v>17</v>
      </c>
      <c r="F312" t="s">
        <v>39</v>
      </c>
      <c r="G312" t="s">
        <v>69</v>
      </c>
      <c r="H312" t="s">
        <v>82</v>
      </c>
      <c r="I312" s="3">
        <v>0.1067</v>
      </c>
      <c r="J312">
        <v>28</v>
      </c>
    </row>
    <row r="313" spans="1:10">
      <c r="A313">
        <v>2</v>
      </c>
      <c r="B313" t="s">
        <v>8</v>
      </c>
      <c r="C313" t="str">
        <f t="shared" si="4"/>
        <v>Y2Q3</v>
      </c>
      <c r="D313" t="s">
        <v>38</v>
      </c>
      <c r="E313" t="s">
        <v>17</v>
      </c>
      <c r="F313" t="s">
        <v>39</v>
      </c>
      <c r="G313" t="s">
        <v>73</v>
      </c>
      <c r="H313" t="s">
        <v>83</v>
      </c>
      <c r="I313" s="3">
        <v>8.72E-2</v>
      </c>
      <c r="J313">
        <v>23</v>
      </c>
    </row>
    <row r="314" spans="1:10">
      <c r="A314">
        <v>2</v>
      </c>
      <c r="B314" t="s">
        <v>8</v>
      </c>
      <c r="C314" t="str">
        <f t="shared" si="4"/>
        <v>Y2Q3</v>
      </c>
      <c r="D314" t="s">
        <v>41</v>
      </c>
      <c r="E314" t="s">
        <v>17</v>
      </c>
      <c r="F314" t="s">
        <v>33</v>
      </c>
      <c r="G314" t="s">
        <v>67</v>
      </c>
      <c r="H314" t="s">
        <v>68</v>
      </c>
      <c r="I314" s="3">
        <v>0.28589999999999999</v>
      </c>
      <c r="J314">
        <v>32</v>
      </c>
    </row>
    <row r="315" spans="1:10">
      <c r="A315">
        <v>2</v>
      </c>
      <c r="B315" t="s">
        <v>8</v>
      </c>
      <c r="C315" t="str">
        <f t="shared" si="4"/>
        <v>Y2Q3</v>
      </c>
      <c r="D315" t="s">
        <v>41</v>
      </c>
      <c r="E315" t="s">
        <v>17</v>
      </c>
      <c r="F315" t="s">
        <v>33</v>
      </c>
      <c r="G315" t="s">
        <v>69</v>
      </c>
      <c r="H315" t="s">
        <v>70</v>
      </c>
      <c r="I315" s="3">
        <v>0.29370000000000002</v>
      </c>
      <c r="J315">
        <v>33</v>
      </c>
    </row>
    <row r="316" spans="1:10">
      <c r="A316">
        <v>2</v>
      </c>
      <c r="B316" t="s">
        <v>8</v>
      </c>
      <c r="C316" t="str">
        <f t="shared" si="4"/>
        <v>Y2Q3</v>
      </c>
      <c r="D316" t="s">
        <v>41</v>
      </c>
      <c r="E316" t="s">
        <v>17</v>
      </c>
      <c r="F316" t="s">
        <v>33</v>
      </c>
      <c r="G316" t="s">
        <v>71</v>
      </c>
      <c r="H316" t="s">
        <v>72</v>
      </c>
      <c r="I316" s="3">
        <v>0.23130000000000001</v>
      </c>
      <c r="J316">
        <v>26</v>
      </c>
    </row>
    <row r="317" spans="1:10">
      <c r="A317">
        <v>2</v>
      </c>
      <c r="B317" t="s">
        <v>8</v>
      </c>
      <c r="C317" t="str">
        <f t="shared" si="4"/>
        <v>Y2Q3</v>
      </c>
      <c r="D317" t="s">
        <v>41</v>
      </c>
      <c r="E317" t="s">
        <v>17</v>
      </c>
      <c r="F317" t="s">
        <v>33</v>
      </c>
      <c r="G317" t="s">
        <v>73</v>
      </c>
      <c r="H317" t="s">
        <v>74</v>
      </c>
      <c r="I317" s="3">
        <v>0.18909999999999999</v>
      </c>
      <c r="J317">
        <v>20</v>
      </c>
    </row>
    <row r="318" spans="1:10">
      <c r="A318">
        <v>2</v>
      </c>
      <c r="B318" t="s">
        <v>8</v>
      </c>
      <c r="C318" t="str">
        <f t="shared" si="4"/>
        <v>Y2Q3</v>
      </c>
      <c r="D318" t="s">
        <v>42</v>
      </c>
      <c r="E318" t="s">
        <v>17</v>
      </c>
      <c r="F318" t="s">
        <v>43</v>
      </c>
      <c r="G318" t="s">
        <v>79</v>
      </c>
      <c r="H318" t="s">
        <v>84</v>
      </c>
      <c r="I318" s="3">
        <v>0.64559999999999995</v>
      </c>
      <c r="J318">
        <v>83</v>
      </c>
    </row>
    <row r="319" spans="1:10">
      <c r="A319">
        <v>2</v>
      </c>
      <c r="B319" t="s">
        <v>8</v>
      </c>
      <c r="C319" t="str">
        <f t="shared" si="4"/>
        <v>Y2Q3</v>
      </c>
      <c r="D319" t="s">
        <v>42</v>
      </c>
      <c r="E319" t="s">
        <v>17</v>
      </c>
      <c r="F319" t="s">
        <v>43</v>
      </c>
      <c r="G319" t="s">
        <v>69</v>
      </c>
      <c r="H319" t="s">
        <v>85</v>
      </c>
      <c r="I319" s="3">
        <v>0.22509999999999999</v>
      </c>
      <c r="J319">
        <v>29</v>
      </c>
    </row>
    <row r="320" spans="1:10">
      <c r="A320">
        <v>2</v>
      </c>
      <c r="B320" t="s">
        <v>8</v>
      </c>
      <c r="C320" t="str">
        <f t="shared" si="4"/>
        <v>Y2Q3</v>
      </c>
      <c r="D320" t="s">
        <v>42</v>
      </c>
      <c r="E320" t="s">
        <v>17</v>
      </c>
      <c r="F320" t="s">
        <v>43</v>
      </c>
      <c r="G320" t="s">
        <v>71</v>
      </c>
      <c r="H320" t="s">
        <v>86</v>
      </c>
      <c r="I320" s="3">
        <v>0.1293</v>
      </c>
      <c r="J320">
        <v>16</v>
      </c>
    </row>
    <row r="321" spans="1:10">
      <c r="A321">
        <v>2</v>
      </c>
      <c r="B321" t="s">
        <v>8</v>
      </c>
      <c r="C321" t="str">
        <f t="shared" si="4"/>
        <v>Y2Q3</v>
      </c>
      <c r="D321" t="s">
        <v>45</v>
      </c>
      <c r="E321" t="s">
        <v>20</v>
      </c>
      <c r="F321" t="s">
        <v>46</v>
      </c>
      <c r="G321" t="s">
        <v>69</v>
      </c>
      <c r="H321" t="s">
        <v>87</v>
      </c>
      <c r="I321" s="3">
        <v>0.3291</v>
      </c>
      <c r="J321">
        <v>43</v>
      </c>
    </row>
    <row r="322" spans="1:10">
      <c r="A322">
        <v>2</v>
      </c>
      <c r="B322" t="s">
        <v>8</v>
      </c>
      <c r="C322" t="str">
        <f t="shared" si="4"/>
        <v>Y2Q3</v>
      </c>
      <c r="D322" t="s">
        <v>45</v>
      </c>
      <c r="E322" t="s">
        <v>20</v>
      </c>
      <c r="F322" t="s">
        <v>46</v>
      </c>
      <c r="G322" t="s">
        <v>79</v>
      </c>
      <c r="H322" t="s">
        <v>88</v>
      </c>
      <c r="I322" s="3">
        <v>0.30819999999999997</v>
      </c>
      <c r="J322">
        <v>41</v>
      </c>
    </row>
    <row r="323" spans="1:10">
      <c r="A323">
        <v>2</v>
      </c>
      <c r="B323" t="s">
        <v>8</v>
      </c>
      <c r="C323" t="str">
        <f t="shared" ref="C323:C386" si="5">"Y"&amp;A323&amp;B323</f>
        <v>Y2Q3</v>
      </c>
      <c r="D323" t="s">
        <v>45</v>
      </c>
      <c r="E323" t="s">
        <v>20</v>
      </c>
      <c r="F323" t="s">
        <v>46</v>
      </c>
      <c r="G323" t="s">
        <v>67</v>
      </c>
      <c r="H323" t="s">
        <v>89</v>
      </c>
      <c r="I323" s="3">
        <v>0.25979999999999998</v>
      </c>
      <c r="J323">
        <v>34</v>
      </c>
    </row>
    <row r="324" spans="1:10">
      <c r="A324">
        <v>2</v>
      </c>
      <c r="B324" t="s">
        <v>8</v>
      </c>
      <c r="C324" t="str">
        <f t="shared" si="5"/>
        <v>Y2Q3</v>
      </c>
      <c r="D324" t="s">
        <v>45</v>
      </c>
      <c r="E324" t="s">
        <v>20</v>
      </c>
      <c r="F324" t="s">
        <v>46</v>
      </c>
      <c r="G324" t="s">
        <v>71</v>
      </c>
      <c r="H324" t="s">
        <v>90</v>
      </c>
      <c r="I324" s="3">
        <v>0.1028</v>
      </c>
      <c r="J324">
        <v>14</v>
      </c>
    </row>
    <row r="325" spans="1:10">
      <c r="A325">
        <v>2</v>
      </c>
      <c r="B325" t="s">
        <v>8</v>
      </c>
      <c r="C325" t="str">
        <f t="shared" si="5"/>
        <v>Y2Q3</v>
      </c>
      <c r="D325" t="s">
        <v>48</v>
      </c>
      <c r="E325" t="s">
        <v>20</v>
      </c>
      <c r="F325" t="s">
        <v>36</v>
      </c>
      <c r="G325" t="s">
        <v>69</v>
      </c>
      <c r="H325" t="s">
        <v>75</v>
      </c>
      <c r="I325" s="3">
        <v>0.56789999999999996</v>
      </c>
      <c r="J325">
        <v>55</v>
      </c>
    </row>
    <row r="326" spans="1:10">
      <c r="A326">
        <v>2</v>
      </c>
      <c r="B326" t="s">
        <v>8</v>
      </c>
      <c r="C326" t="str">
        <f t="shared" si="5"/>
        <v>Y2Q3</v>
      </c>
      <c r="D326" t="s">
        <v>48</v>
      </c>
      <c r="E326" t="s">
        <v>20</v>
      </c>
      <c r="F326" t="s">
        <v>36</v>
      </c>
      <c r="G326" t="s">
        <v>67</v>
      </c>
      <c r="H326" t="s">
        <v>76</v>
      </c>
      <c r="I326" s="3">
        <v>0.29289999999999999</v>
      </c>
      <c r="J326">
        <v>28</v>
      </c>
    </row>
    <row r="327" spans="1:10">
      <c r="A327">
        <v>2</v>
      </c>
      <c r="B327" t="s">
        <v>8</v>
      </c>
      <c r="C327" t="str">
        <f t="shared" si="5"/>
        <v>Y2Q3</v>
      </c>
      <c r="D327" t="s">
        <v>48</v>
      </c>
      <c r="E327" t="s">
        <v>20</v>
      </c>
      <c r="F327" t="s">
        <v>36</v>
      </c>
      <c r="G327" t="s">
        <v>73</v>
      </c>
      <c r="H327" t="s">
        <v>77</v>
      </c>
      <c r="I327" s="3">
        <v>0.1391</v>
      </c>
      <c r="J327">
        <v>14</v>
      </c>
    </row>
    <row r="328" spans="1:10">
      <c r="A328">
        <v>2</v>
      </c>
      <c r="B328" t="s">
        <v>8</v>
      </c>
      <c r="C328" t="str">
        <f t="shared" si="5"/>
        <v>Y2Q3</v>
      </c>
      <c r="D328" t="s">
        <v>49</v>
      </c>
      <c r="E328" t="s">
        <v>20</v>
      </c>
      <c r="F328" t="s">
        <v>50</v>
      </c>
      <c r="G328" t="s">
        <v>79</v>
      </c>
      <c r="H328" t="s">
        <v>91</v>
      </c>
      <c r="I328" s="3">
        <v>0.59450000000000003</v>
      </c>
      <c r="J328">
        <v>49</v>
      </c>
    </row>
    <row r="329" spans="1:10">
      <c r="A329">
        <v>2</v>
      </c>
      <c r="B329" t="s">
        <v>8</v>
      </c>
      <c r="C329" t="str">
        <f t="shared" si="5"/>
        <v>Y2Q3</v>
      </c>
      <c r="D329" t="s">
        <v>49</v>
      </c>
      <c r="E329" t="s">
        <v>20</v>
      </c>
      <c r="F329" t="s">
        <v>50</v>
      </c>
      <c r="G329" t="s">
        <v>73</v>
      </c>
      <c r="H329" t="s">
        <v>92</v>
      </c>
      <c r="I329" s="3">
        <v>0.26269999999999999</v>
      </c>
      <c r="J329">
        <v>22</v>
      </c>
    </row>
    <row r="330" spans="1:10">
      <c r="A330">
        <v>2</v>
      </c>
      <c r="B330" t="s">
        <v>8</v>
      </c>
      <c r="C330" t="str">
        <f t="shared" si="5"/>
        <v>Y2Q3</v>
      </c>
      <c r="D330" t="s">
        <v>49</v>
      </c>
      <c r="E330" t="s">
        <v>20</v>
      </c>
      <c r="F330" t="s">
        <v>50</v>
      </c>
      <c r="G330" t="s">
        <v>71</v>
      </c>
      <c r="H330" t="s">
        <v>93</v>
      </c>
      <c r="I330" s="3">
        <v>0.14280000000000001</v>
      </c>
      <c r="J330">
        <v>12</v>
      </c>
    </row>
    <row r="331" spans="1:10">
      <c r="A331">
        <v>2</v>
      </c>
      <c r="B331" t="s">
        <v>8</v>
      </c>
      <c r="C331" t="str">
        <f t="shared" si="5"/>
        <v>Y2Q3</v>
      </c>
      <c r="D331" t="s">
        <v>52</v>
      </c>
      <c r="E331" t="s">
        <v>23</v>
      </c>
      <c r="F331" t="s">
        <v>39</v>
      </c>
      <c r="G331" t="s">
        <v>71</v>
      </c>
      <c r="H331" t="s">
        <v>78</v>
      </c>
      <c r="I331" s="3">
        <v>0.33169999999999999</v>
      </c>
      <c r="J331">
        <v>25</v>
      </c>
    </row>
    <row r="332" spans="1:10">
      <c r="A332">
        <v>2</v>
      </c>
      <c r="B332" t="s">
        <v>8</v>
      </c>
      <c r="C332" t="str">
        <f t="shared" si="5"/>
        <v>Y2Q3</v>
      </c>
      <c r="D332" t="s">
        <v>52</v>
      </c>
      <c r="E332" t="s">
        <v>23</v>
      </c>
      <c r="F332" t="s">
        <v>39</v>
      </c>
      <c r="G332" t="s">
        <v>79</v>
      </c>
      <c r="H332" t="s">
        <v>80</v>
      </c>
      <c r="I332" s="3">
        <v>0.2571</v>
      </c>
      <c r="J332">
        <v>20</v>
      </c>
    </row>
    <row r="333" spans="1:10">
      <c r="A333">
        <v>2</v>
      </c>
      <c r="B333" t="s">
        <v>8</v>
      </c>
      <c r="C333" t="str">
        <f t="shared" si="5"/>
        <v>Y2Q3</v>
      </c>
      <c r="D333" t="s">
        <v>52</v>
      </c>
      <c r="E333" t="s">
        <v>23</v>
      </c>
      <c r="F333" t="s">
        <v>39</v>
      </c>
      <c r="G333" t="s">
        <v>73</v>
      </c>
      <c r="H333" t="s">
        <v>83</v>
      </c>
      <c r="I333" s="3">
        <v>0.17280000000000001</v>
      </c>
      <c r="J333">
        <v>13</v>
      </c>
    </row>
    <row r="334" spans="1:10">
      <c r="A334">
        <v>2</v>
      </c>
      <c r="B334" t="s">
        <v>8</v>
      </c>
      <c r="C334" t="str">
        <f t="shared" si="5"/>
        <v>Y2Q3</v>
      </c>
      <c r="D334" t="s">
        <v>52</v>
      </c>
      <c r="E334" t="s">
        <v>23</v>
      </c>
      <c r="F334" t="s">
        <v>39</v>
      </c>
      <c r="G334" t="s">
        <v>67</v>
      </c>
      <c r="H334" t="s">
        <v>81</v>
      </c>
      <c r="I334" s="3">
        <v>0.10970000000000001</v>
      </c>
      <c r="J334">
        <v>8</v>
      </c>
    </row>
    <row r="335" spans="1:10">
      <c r="A335">
        <v>2</v>
      </c>
      <c r="B335" t="s">
        <v>8</v>
      </c>
      <c r="C335" t="str">
        <f t="shared" si="5"/>
        <v>Y2Q3</v>
      </c>
      <c r="D335" t="s">
        <v>52</v>
      </c>
      <c r="E335" t="s">
        <v>23</v>
      </c>
      <c r="F335" t="s">
        <v>39</v>
      </c>
      <c r="G335" t="s">
        <v>69</v>
      </c>
      <c r="H335" t="s">
        <v>82</v>
      </c>
      <c r="I335" s="3">
        <v>0.12870000000000001</v>
      </c>
      <c r="J335">
        <v>10</v>
      </c>
    </row>
    <row r="336" spans="1:10">
      <c r="A336">
        <v>2</v>
      </c>
      <c r="B336" t="s">
        <v>8</v>
      </c>
      <c r="C336" t="str">
        <f t="shared" si="5"/>
        <v>Y2Q3</v>
      </c>
      <c r="D336" t="s">
        <v>53</v>
      </c>
      <c r="E336" t="s">
        <v>23</v>
      </c>
      <c r="F336" t="s">
        <v>54</v>
      </c>
      <c r="G336" t="s">
        <v>73</v>
      </c>
      <c r="H336" t="s">
        <v>94</v>
      </c>
      <c r="I336" s="3">
        <v>0.5524</v>
      </c>
      <c r="J336">
        <v>48</v>
      </c>
    </row>
    <row r="337" spans="1:10">
      <c r="A337">
        <v>2</v>
      </c>
      <c r="B337" t="s">
        <v>8</v>
      </c>
      <c r="C337" t="str">
        <f t="shared" si="5"/>
        <v>Y2Q3</v>
      </c>
      <c r="D337" t="s">
        <v>53</v>
      </c>
      <c r="E337" t="s">
        <v>23</v>
      </c>
      <c r="F337" t="s">
        <v>54</v>
      </c>
      <c r="G337" t="s">
        <v>79</v>
      </c>
      <c r="H337" t="s">
        <v>95</v>
      </c>
      <c r="I337" s="3">
        <v>0.30080000000000001</v>
      </c>
      <c r="J337">
        <v>26</v>
      </c>
    </row>
    <row r="338" spans="1:10">
      <c r="A338">
        <v>2</v>
      </c>
      <c r="B338" t="s">
        <v>8</v>
      </c>
      <c r="C338" t="str">
        <f t="shared" si="5"/>
        <v>Y2Q3</v>
      </c>
      <c r="D338" t="s">
        <v>53</v>
      </c>
      <c r="E338" t="s">
        <v>23</v>
      </c>
      <c r="F338" t="s">
        <v>54</v>
      </c>
      <c r="G338" t="s">
        <v>67</v>
      </c>
      <c r="H338" t="s">
        <v>96</v>
      </c>
      <c r="I338" s="3">
        <v>0.1467</v>
      </c>
      <c r="J338">
        <v>12</v>
      </c>
    </row>
    <row r="339" spans="1:10">
      <c r="A339">
        <v>2</v>
      </c>
      <c r="B339" t="s">
        <v>8</v>
      </c>
      <c r="C339" t="str">
        <f t="shared" si="5"/>
        <v>Y2Q3</v>
      </c>
      <c r="D339" t="s">
        <v>56</v>
      </c>
      <c r="E339" t="s">
        <v>23</v>
      </c>
      <c r="F339" t="s">
        <v>50</v>
      </c>
      <c r="G339" t="s">
        <v>79</v>
      </c>
      <c r="H339" t="s">
        <v>91</v>
      </c>
      <c r="I339" s="3">
        <v>0.47049999999999997</v>
      </c>
      <c r="J339">
        <v>29</v>
      </c>
    </row>
    <row r="340" spans="1:10">
      <c r="A340">
        <v>2</v>
      </c>
      <c r="B340" t="s">
        <v>8</v>
      </c>
      <c r="C340" t="str">
        <f t="shared" si="5"/>
        <v>Y2Q3</v>
      </c>
      <c r="D340" t="s">
        <v>56</v>
      </c>
      <c r="E340" t="s">
        <v>23</v>
      </c>
      <c r="F340" t="s">
        <v>50</v>
      </c>
      <c r="G340" t="s">
        <v>73</v>
      </c>
      <c r="H340" t="s">
        <v>92</v>
      </c>
      <c r="I340" s="3">
        <v>0.3805</v>
      </c>
      <c r="J340">
        <v>24</v>
      </c>
    </row>
    <row r="341" spans="1:10">
      <c r="A341">
        <v>2</v>
      </c>
      <c r="B341" t="s">
        <v>8</v>
      </c>
      <c r="C341" t="str">
        <f t="shared" si="5"/>
        <v>Y2Q3</v>
      </c>
      <c r="D341" t="s">
        <v>56</v>
      </c>
      <c r="E341" t="s">
        <v>23</v>
      </c>
      <c r="F341" t="s">
        <v>50</v>
      </c>
      <c r="G341" t="s">
        <v>71</v>
      </c>
      <c r="H341" t="s">
        <v>93</v>
      </c>
      <c r="I341" s="3">
        <v>0.1489</v>
      </c>
      <c r="J341">
        <v>9</v>
      </c>
    </row>
    <row r="342" spans="1:10">
      <c r="A342">
        <v>2</v>
      </c>
      <c r="B342" t="s">
        <v>8</v>
      </c>
      <c r="C342" t="str">
        <f t="shared" si="5"/>
        <v>Y2Q3</v>
      </c>
      <c r="D342" t="s">
        <v>57</v>
      </c>
      <c r="E342" t="s">
        <v>23</v>
      </c>
      <c r="F342" t="s">
        <v>43</v>
      </c>
      <c r="G342" t="s">
        <v>79</v>
      </c>
      <c r="H342" t="s">
        <v>84</v>
      </c>
      <c r="I342" s="3">
        <v>0.71340000000000003</v>
      </c>
      <c r="J342">
        <v>34</v>
      </c>
    </row>
    <row r="343" spans="1:10">
      <c r="A343">
        <v>2</v>
      </c>
      <c r="B343" t="s">
        <v>8</v>
      </c>
      <c r="C343" t="str">
        <f t="shared" si="5"/>
        <v>Y2Q3</v>
      </c>
      <c r="D343" t="s">
        <v>57</v>
      </c>
      <c r="E343" t="s">
        <v>23</v>
      </c>
      <c r="F343" t="s">
        <v>43</v>
      </c>
      <c r="G343" t="s">
        <v>69</v>
      </c>
      <c r="H343" t="s">
        <v>85</v>
      </c>
      <c r="I343" s="3">
        <v>0.17780000000000001</v>
      </c>
      <c r="J343">
        <v>8</v>
      </c>
    </row>
    <row r="344" spans="1:10">
      <c r="A344">
        <v>2</v>
      </c>
      <c r="B344" t="s">
        <v>8</v>
      </c>
      <c r="C344" t="str">
        <f t="shared" si="5"/>
        <v>Y2Q3</v>
      </c>
      <c r="D344" t="s">
        <v>57</v>
      </c>
      <c r="E344" t="s">
        <v>23</v>
      </c>
      <c r="F344" t="s">
        <v>43</v>
      </c>
      <c r="G344" t="s">
        <v>71</v>
      </c>
      <c r="H344" t="s">
        <v>86</v>
      </c>
      <c r="I344" s="3">
        <v>0.10879999999999999</v>
      </c>
      <c r="J344">
        <v>5</v>
      </c>
    </row>
    <row r="345" spans="1:10">
      <c r="A345">
        <v>2</v>
      </c>
      <c r="B345" t="s">
        <v>8</v>
      </c>
      <c r="C345" t="str">
        <f t="shared" si="5"/>
        <v>Y2Q3</v>
      </c>
      <c r="D345" t="s">
        <v>58</v>
      </c>
      <c r="E345" t="s">
        <v>26</v>
      </c>
      <c r="F345" t="s">
        <v>46</v>
      </c>
      <c r="G345" t="s">
        <v>69</v>
      </c>
      <c r="H345" t="s">
        <v>87</v>
      </c>
      <c r="I345" s="3">
        <v>0.3911</v>
      </c>
      <c r="J345">
        <v>44</v>
      </c>
    </row>
    <row r="346" spans="1:10">
      <c r="A346">
        <v>2</v>
      </c>
      <c r="B346" t="s">
        <v>8</v>
      </c>
      <c r="C346" t="str">
        <f t="shared" si="5"/>
        <v>Y2Q3</v>
      </c>
      <c r="D346" t="s">
        <v>58</v>
      </c>
      <c r="E346" t="s">
        <v>26</v>
      </c>
      <c r="F346" t="s">
        <v>46</v>
      </c>
      <c r="G346" t="s">
        <v>67</v>
      </c>
      <c r="H346" t="s">
        <v>89</v>
      </c>
      <c r="I346" s="3">
        <v>0.318</v>
      </c>
      <c r="J346">
        <v>36</v>
      </c>
    </row>
    <row r="347" spans="1:10">
      <c r="A347">
        <v>2</v>
      </c>
      <c r="B347" t="s">
        <v>8</v>
      </c>
      <c r="C347" t="str">
        <f t="shared" si="5"/>
        <v>Y2Q3</v>
      </c>
      <c r="D347" t="s">
        <v>58</v>
      </c>
      <c r="E347" t="s">
        <v>26</v>
      </c>
      <c r="F347" t="s">
        <v>46</v>
      </c>
      <c r="G347" t="s">
        <v>79</v>
      </c>
      <c r="H347" t="s">
        <v>88</v>
      </c>
      <c r="I347" s="3">
        <v>0.22650000000000001</v>
      </c>
      <c r="J347">
        <v>26</v>
      </c>
    </row>
    <row r="348" spans="1:10">
      <c r="A348">
        <v>2</v>
      </c>
      <c r="B348" t="s">
        <v>8</v>
      </c>
      <c r="C348" t="str">
        <f t="shared" si="5"/>
        <v>Y2Q3</v>
      </c>
      <c r="D348" t="s">
        <v>58</v>
      </c>
      <c r="E348" t="s">
        <v>26</v>
      </c>
      <c r="F348" t="s">
        <v>46</v>
      </c>
      <c r="G348" t="s">
        <v>71</v>
      </c>
      <c r="H348" t="s">
        <v>90</v>
      </c>
      <c r="I348" s="3">
        <v>6.4399999999999999E-2</v>
      </c>
      <c r="J348">
        <v>7</v>
      </c>
    </row>
    <row r="349" spans="1:10">
      <c r="A349">
        <v>2</v>
      </c>
      <c r="B349" t="s">
        <v>8</v>
      </c>
      <c r="C349" t="str">
        <f t="shared" si="5"/>
        <v>Y2Q3</v>
      </c>
      <c r="D349" t="s">
        <v>59</v>
      </c>
      <c r="E349" t="s">
        <v>26</v>
      </c>
      <c r="F349" t="s">
        <v>54</v>
      </c>
      <c r="G349" t="s">
        <v>73</v>
      </c>
      <c r="H349" t="s">
        <v>94</v>
      </c>
      <c r="I349" s="3">
        <v>0.44590000000000002</v>
      </c>
      <c r="J349">
        <v>32</v>
      </c>
    </row>
    <row r="350" spans="1:10">
      <c r="A350">
        <v>2</v>
      </c>
      <c r="B350" t="s">
        <v>8</v>
      </c>
      <c r="C350" t="str">
        <f t="shared" si="5"/>
        <v>Y2Q3</v>
      </c>
      <c r="D350" t="s">
        <v>59</v>
      </c>
      <c r="E350" t="s">
        <v>26</v>
      </c>
      <c r="F350" t="s">
        <v>54</v>
      </c>
      <c r="G350" t="s">
        <v>79</v>
      </c>
      <c r="H350" t="s">
        <v>95</v>
      </c>
      <c r="I350" s="3">
        <v>0.33979999999999999</v>
      </c>
      <c r="J350">
        <v>24</v>
      </c>
    </row>
    <row r="351" spans="1:10">
      <c r="A351">
        <v>2</v>
      </c>
      <c r="B351" t="s">
        <v>8</v>
      </c>
      <c r="C351" t="str">
        <f t="shared" si="5"/>
        <v>Y2Q3</v>
      </c>
      <c r="D351" t="s">
        <v>59</v>
      </c>
      <c r="E351" t="s">
        <v>26</v>
      </c>
      <c r="F351" t="s">
        <v>54</v>
      </c>
      <c r="G351" t="s">
        <v>67</v>
      </c>
      <c r="H351" t="s">
        <v>96</v>
      </c>
      <c r="I351" s="3">
        <v>0.21429999999999999</v>
      </c>
      <c r="J351">
        <v>16</v>
      </c>
    </row>
    <row r="352" spans="1:10">
      <c r="A352">
        <v>2</v>
      </c>
      <c r="B352" t="s">
        <v>9</v>
      </c>
      <c r="C352" t="str">
        <f t="shared" si="5"/>
        <v>Y2Q4</v>
      </c>
      <c r="D352" t="s">
        <v>32</v>
      </c>
      <c r="E352" t="s">
        <v>14</v>
      </c>
      <c r="F352" t="s">
        <v>33</v>
      </c>
      <c r="G352" t="s">
        <v>67</v>
      </c>
      <c r="H352" t="s">
        <v>68</v>
      </c>
      <c r="I352" s="3">
        <v>0.3533</v>
      </c>
      <c r="J352">
        <v>58</v>
      </c>
    </row>
    <row r="353" spans="1:10">
      <c r="A353">
        <v>2</v>
      </c>
      <c r="B353" t="s">
        <v>9</v>
      </c>
      <c r="C353" t="str">
        <f t="shared" si="5"/>
        <v>Y2Q4</v>
      </c>
      <c r="D353" t="s">
        <v>32</v>
      </c>
      <c r="E353" t="s">
        <v>14</v>
      </c>
      <c r="F353" t="s">
        <v>33</v>
      </c>
      <c r="G353" t="s">
        <v>69</v>
      </c>
      <c r="H353" t="s">
        <v>70</v>
      </c>
      <c r="I353" s="3">
        <v>0.31909999999999999</v>
      </c>
      <c r="J353">
        <v>52</v>
      </c>
    </row>
    <row r="354" spans="1:10">
      <c r="A354">
        <v>2</v>
      </c>
      <c r="B354" t="s">
        <v>9</v>
      </c>
      <c r="C354" t="str">
        <f t="shared" si="5"/>
        <v>Y2Q4</v>
      </c>
      <c r="D354" t="s">
        <v>32</v>
      </c>
      <c r="E354" t="s">
        <v>14</v>
      </c>
      <c r="F354" t="s">
        <v>33</v>
      </c>
      <c r="G354" t="s">
        <v>71</v>
      </c>
      <c r="H354" t="s">
        <v>72</v>
      </c>
      <c r="I354" s="3">
        <v>0.21060000000000001</v>
      </c>
      <c r="J354">
        <v>34</v>
      </c>
    </row>
    <row r="355" spans="1:10">
      <c r="A355">
        <v>2</v>
      </c>
      <c r="B355" t="s">
        <v>9</v>
      </c>
      <c r="C355" t="str">
        <f t="shared" si="5"/>
        <v>Y2Q4</v>
      </c>
      <c r="D355" t="s">
        <v>32</v>
      </c>
      <c r="E355" t="s">
        <v>14</v>
      </c>
      <c r="F355" t="s">
        <v>33</v>
      </c>
      <c r="G355" t="s">
        <v>73</v>
      </c>
      <c r="H355" t="s">
        <v>74</v>
      </c>
      <c r="I355" s="3">
        <v>0.11700000000000001</v>
      </c>
      <c r="J355">
        <v>19</v>
      </c>
    </row>
    <row r="356" spans="1:10">
      <c r="A356">
        <v>2</v>
      </c>
      <c r="B356" t="s">
        <v>9</v>
      </c>
      <c r="C356" t="str">
        <f t="shared" si="5"/>
        <v>Y2Q4</v>
      </c>
      <c r="D356" t="s">
        <v>35</v>
      </c>
      <c r="E356" t="s">
        <v>14</v>
      </c>
      <c r="F356" t="s">
        <v>36</v>
      </c>
      <c r="G356" t="s">
        <v>69</v>
      </c>
      <c r="H356" t="s">
        <v>75</v>
      </c>
      <c r="I356" s="3">
        <v>0.54800000000000004</v>
      </c>
      <c r="J356">
        <v>52</v>
      </c>
    </row>
    <row r="357" spans="1:10">
      <c r="A357">
        <v>2</v>
      </c>
      <c r="B357" t="s">
        <v>9</v>
      </c>
      <c r="C357" t="str">
        <f t="shared" si="5"/>
        <v>Y2Q4</v>
      </c>
      <c r="D357" t="s">
        <v>35</v>
      </c>
      <c r="E357" t="s">
        <v>14</v>
      </c>
      <c r="F357" t="s">
        <v>36</v>
      </c>
      <c r="G357" t="s">
        <v>67</v>
      </c>
      <c r="H357" t="s">
        <v>76</v>
      </c>
      <c r="I357" s="3">
        <v>0.31080000000000002</v>
      </c>
      <c r="J357">
        <v>29</v>
      </c>
    </row>
    <row r="358" spans="1:10">
      <c r="A358">
        <v>2</v>
      </c>
      <c r="B358" t="s">
        <v>9</v>
      </c>
      <c r="C358" t="str">
        <f t="shared" si="5"/>
        <v>Y2Q4</v>
      </c>
      <c r="D358" t="s">
        <v>35</v>
      </c>
      <c r="E358" t="s">
        <v>14</v>
      </c>
      <c r="F358" t="s">
        <v>36</v>
      </c>
      <c r="G358" t="s">
        <v>73</v>
      </c>
      <c r="H358" t="s">
        <v>77</v>
      </c>
      <c r="I358" s="3">
        <v>0.14119999999999999</v>
      </c>
      <c r="J358">
        <v>13</v>
      </c>
    </row>
    <row r="359" spans="1:10">
      <c r="A359">
        <v>2</v>
      </c>
      <c r="B359" t="s">
        <v>9</v>
      </c>
      <c r="C359" t="str">
        <f t="shared" si="5"/>
        <v>Y2Q4</v>
      </c>
      <c r="D359" t="s">
        <v>38</v>
      </c>
      <c r="E359" t="s">
        <v>17</v>
      </c>
      <c r="F359" t="s">
        <v>39</v>
      </c>
      <c r="G359" t="s">
        <v>71</v>
      </c>
      <c r="H359" t="s">
        <v>78</v>
      </c>
      <c r="I359" s="3">
        <v>0.35580000000000001</v>
      </c>
      <c r="J359">
        <v>98</v>
      </c>
    </row>
    <row r="360" spans="1:10">
      <c r="A360">
        <v>2</v>
      </c>
      <c r="B360" t="s">
        <v>9</v>
      </c>
      <c r="C360" t="str">
        <f t="shared" si="5"/>
        <v>Y2Q4</v>
      </c>
      <c r="D360" t="s">
        <v>38</v>
      </c>
      <c r="E360" t="s">
        <v>17</v>
      </c>
      <c r="F360" t="s">
        <v>39</v>
      </c>
      <c r="G360" t="s">
        <v>79</v>
      </c>
      <c r="H360" t="s">
        <v>80</v>
      </c>
      <c r="I360" s="3">
        <v>0.2596</v>
      </c>
      <c r="J360">
        <v>71</v>
      </c>
    </row>
    <row r="361" spans="1:10">
      <c r="A361">
        <v>2</v>
      </c>
      <c r="B361" t="s">
        <v>9</v>
      </c>
      <c r="C361" t="str">
        <f t="shared" si="5"/>
        <v>Y2Q4</v>
      </c>
      <c r="D361" t="s">
        <v>38</v>
      </c>
      <c r="E361" t="s">
        <v>17</v>
      </c>
      <c r="F361" t="s">
        <v>39</v>
      </c>
      <c r="G361" t="s">
        <v>67</v>
      </c>
      <c r="H361" t="s">
        <v>81</v>
      </c>
      <c r="I361" s="3">
        <v>0.19270000000000001</v>
      </c>
      <c r="J361">
        <v>53</v>
      </c>
    </row>
    <row r="362" spans="1:10">
      <c r="A362">
        <v>2</v>
      </c>
      <c r="B362" t="s">
        <v>9</v>
      </c>
      <c r="C362" t="str">
        <f t="shared" si="5"/>
        <v>Y2Q4</v>
      </c>
      <c r="D362" t="s">
        <v>38</v>
      </c>
      <c r="E362" t="s">
        <v>17</v>
      </c>
      <c r="F362" t="s">
        <v>39</v>
      </c>
      <c r="G362" t="s">
        <v>69</v>
      </c>
      <c r="H362" t="s">
        <v>82</v>
      </c>
      <c r="I362" s="3">
        <v>0.13120000000000001</v>
      </c>
      <c r="J362">
        <v>36</v>
      </c>
    </row>
    <row r="363" spans="1:10">
      <c r="A363">
        <v>2</v>
      </c>
      <c r="B363" t="s">
        <v>9</v>
      </c>
      <c r="C363" t="str">
        <f t="shared" si="5"/>
        <v>Y2Q4</v>
      </c>
      <c r="D363" t="s">
        <v>38</v>
      </c>
      <c r="E363" t="s">
        <v>17</v>
      </c>
      <c r="F363" t="s">
        <v>39</v>
      </c>
      <c r="G363" t="s">
        <v>73</v>
      </c>
      <c r="H363" t="s">
        <v>83</v>
      </c>
      <c r="I363" s="3">
        <v>6.0699999999999997E-2</v>
      </c>
      <c r="J363">
        <v>17</v>
      </c>
    </row>
    <row r="364" spans="1:10">
      <c r="A364">
        <v>2</v>
      </c>
      <c r="B364" t="s">
        <v>9</v>
      </c>
      <c r="C364" t="str">
        <f t="shared" si="5"/>
        <v>Y2Q4</v>
      </c>
      <c r="D364" t="s">
        <v>41</v>
      </c>
      <c r="E364" t="s">
        <v>17</v>
      </c>
      <c r="F364" t="s">
        <v>33</v>
      </c>
      <c r="G364" t="s">
        <v>67</v>
      </c>
      <c r="H364" t="s">
        <v>68</v>
      </c>
      <c r="I364" s="3">
        <v>0.29849999999999999</v>
      </c>
      <c r="J364">
        <v>35</v>
      </c>
    </row>
    <row r="365" spans="1:10">
      <c r="A365">
        <v>2</v>
      </c>
      <c r="B365" t="s">
        <v>9</v>
      </c>
      <c r="C365" t="str">
        <f t="shared" si="5"/>
        <v>Y2Q4</v>
      </c>
      <c r="D365" t="s">
        <v>41</v>
      </c>
      <c r="E365" t="s">
        <v>17</v>
      </c>
      <c r="F365" t="s">
        <v>33</v>
      </c>
      <c r="G365" t="s">
        <v>69</v>
      </c>
      <c r="H365" t="s">
        <v>70</v>
      </c>
      <c r="I365" s="3">
        <v>0.29509999999999997</v>
      </c>
      <c r="J365">
        <v>34</v>
      </c>
    </row>
    <row r="366" spans="1:10">
      <c r="A366">
        <v>2</v>
      </c>
      <c r="B366" t="s">
        <v>9</v>
      </c>
      <c r="C366" t="str">
        <f t="shared" si="5"/>
        <v>Y2Q4</v>
      </c>
      <c r="D366" t="s">
        <v>41</v>
      </c>
      <c r="E366" t="s">
        <v>17</v>
      </c>
      <c r="F366" t="s">
        <v>33</v>
      </c>
      <c r="G366" t="s">
        <v>71</v>
      </c>
      <c r="H366" t="s">
        <v>72</v>
      </c>
      <c r="I366" s="3">
        <v>0.21210000000000001</v>
      </c>
      <c r="J366">
        <v>25</v>
      </c>
    </row>
    <row r="367" spans="1:10">
      <c r="A367">
        <v>2</v>
      </c>
      <c r="B367" t="s">
        <v>9</v>
      </c>
      <c r="C367" t="str">
        <f t="shared" si="5"/>
        <v>Y2Q4</v>
      </c>
      <c r="D367" t="s">
        <v>41</v>
      </c>
      <c r="E367" t="s">
        <v>17</v>
      </c>
      <c r="F367" t="s">
        <v>33</v>
      </c>
      <c r="G367" t="s">
        <v>73</v>
      </c>
      <c r="H367" t="s">
        <v>74</v>
      </c>
      <c r="I367" s="3">
        <v>0.1943</v>
      </c>
      <c r="J367">
        <v>22</v>
      </c>
    </row>
    <row r="368" spans="1:10">
      <c r="A368">
        <v>2</v>
      </c>
      <c r="B368" t="s">
        <v>9</v>
      </c>
      <c r="C368" t="str">
        <f t="shared" si="5"/>
        <v>Y2Q4</v>
      </c>
      <c r="D368" t="s">
        <v>42</v>
      </c>
      <c r="E368" t="s">
        <v>17</v>
      </c>
      <c r="F368" t="s">
        <v>43</v>
      </c>
      <c r="G368" t="s">
        <v>79</v>
      </c>
      <c r="H368" t="s">
        <v>84</v>
      </c>
      <c r="I368" s="3">
        <v>0.63339999999999996</v>
      </c>
      <c r="J368">
        <v>77</v>
      </c>
    </row>
    <row r="369" spans="1:10">
      <c r="A369">
        <v>2</v>
      </c>
      <c r="B369" t="s">
        <v>9</v>
      </c>
      <c r="C369" t="str">
        <f t="shared" si="5"/>
        <v>Y2Q4</v>
      </c>
      <c r="D369" t="s">
        <v>42</v>
      </c>
      <c r="E369" t="s">
        <v>17</v>
      </c>
      <c r="F369" t="s">
        <v>43</v>
      </c>
      <c r="G369" t="s">
        <v>69</v>
      </c>
      <c r="H369" t="s">
        <v>85</v>
      </c>
      <c r="I369" s="3">
        <v>0.23219999999999999</v>
      </c>
      <c r="J369">
        <v>28</v>
      </c>
    </row>
    <row r="370" spans="1:10">
      <c r="A370">
        <v>2</v>
      </c>
      <c r="B370" t="s">
        <v>9</v>
      </c>
      <c r="C370" t="str">
        <f t="shared" si="5"/>
        <v>Y2Q4</v>
      </c>
      <c r="D370" t="s">
        <v>42</v>
      </c>
      <c r="E370" t="s">
        <v>17</v>
      </c>
      <c r="F370" t="s">
        <v>43</v>
      </c>
      <c r="G370" t="s">
        <v>71</v>
      </c>
      <c r="H370" t="s">
        <v>86</v>
      </c>
      <c r="I370" s="3">
        <v>0.1343</v>
      </c>
      <c r="J370">
        <v>17</v>
      </c>
    </row>
    <row r="371" spans="1:10">
      <c r="A371">
        <v>2</v>
      </c>
      <c r="B371" t="s">
        <v>9</v>
      </c>
      <c r="C371" t="str">
        <f t="shared" si="5"/>
        <v>Y2Q4</v>
      </c>
      <c r="D371" t="s">
        <v>45</v>
      </c>
      <c r="E371" t="s">
        <v>20</v>
      </c>
      <c r="F371" t="s">
        <v>46</v>
      </c>
      <c r="G371" t="s">
        <v>69</v>
      </c>
      <c r="H371" t="s">
        <v>87</v>
      </c>
      <c r="I371" s="3">
        <v>0.32590000000000002</v>
      </c>
      <c r="J371">
        <v>45</v>
      </c>
    </row>
    <row r="372" spans="1:10">
      <c r="A372">
        <v>2</v>
      </c>
      <c r="B372" t="s">
        <v>9</v>
      </c>
      <c r="C372" t="str">
        <f t="shared" si="5"/>
        <v>Y2Q4</v>
      </c>
      <c r="D372" t="s">
        <v>45</v>
      </c>
      <c r="E372" t="s">
        <v>20</v>
      </c>
      <c r="F372" t="s">
        <v>46</v>
      </c>
      <c r="G372" t="s">
        <v>79</v>
      </c>
      <c r="H372" t="s">
        <v>88</v>
      </c>
      <c r="I372" s="3">
        <v>0.31390000000000001</v>
      </c>
      <c r="J372">
        <v>43</v>
      </c>
    </row>
    <row r="373" spans="1:10">
      <c r="A373">
        <v>2</v>
      </c>
      <c r="B373" t="s">
        <v>9</v>
      </c>
      <c r="C373" t="str">
        <f t="shared" si="5"/>
        <v>Y2Q4</v>
      </c>
      <c r="D373" t="s">
        <v>45</v>
      </c>
      <c r="E373" t="s">
        <v>20</v>
      </c>
      <c r="F373" t="s">
        <v>46</v>
      </c>
      <c r="G373" t="s">
        <v>67</v>
      </c>
      <c r="H373" t="s">
        <v>89</v>
      </c>
      <c r="I373" s="3">
        <v>0.26540000000000002</v>
      </c>
      <c r="J373">
        <v>36</v>
      </c>
    </row>
    <row r="374" spans="1:10">
      <c r="A374">
        <v>2</v>
      </c>
      <c r="B374" t="s">
        <v>9</v>
      </c>
      <c r="C374" t="str">
        <f t="shared" si="5"/>
        <v>Y2Q4</v>
      </c>
      <c r="D374" t="s">
        <v>45</v>
      </c>
      <c r="E374" t="s">
        <v>20</v>
      </c>
      <c r="F374" t="s">
        <v>46</v>
      </c>
      <c r="G374" t="s">
        <v>71</v>
      </c>
      <c r="H374" t="s">
        <v>90</v>
      </c>
      <c r="I374" s="3">
        <v>9.4799999999999995E-2</v>
      </c>
      <c r="J374">
        <v>13</v>
      </c>
    </row>
    <row r="375" spans="1:10">
      <c r="A375">
        <v>2</v>
      </c>
      <c r="B375" t="s">
        <v>9</v>
      </c>
      <c r="C375" t="str">
        <f t="shared" si="5"/>
        <v>Y2Q4</v>
      </c>
      <c r="D375" t="s">
        <v>48</v>
      </c>
      <c r="E375" t="s">
        <v>20</v>
      </c>
      <c r="F375" t="s">
        <v>36</v>
      </c>
      <c r="G375" t="s">
        <v>69</v>
      </c>
      <c r="H375" t="s">
        <v>75</v>
      </c>
      <c r="I375" s="3">
        <v>0.56740000000000002</v>
      </c>
      <c r="J375">
        <v>56</v>
      </c>
    </row>
    <row r="376" spans="1:10">
      <c r="A376">
        <v>2</v>
      </c>
      <c r="B376" t="s">
        <v>9</v>
      </c>
      <c r="C376" t="str">
        <f t="shared" si="5"/>
        <v>Y2Q4</v>
      </c>
      <c r="D376" t="s">
        <v>48</v>
      </c>
      <c r="E376" t="s">
        <v>20</v>
      </c>
      <c r="F376" t="s">
        <v>36</v>
      </c>
      <c r="G376" t="s">
        <v>67</v>
      </c>
      <c r="H376" t="s">
        <v>76</v>
      </c>
      <c r="I376" s="3">
        <v>0.30630000000000002</v>
      </c>
      <c r="J376">
        <v>30</v>
      </c>
    </row>
    <row r="377" spans="1:10">
      <c r="A377">
        <v>2</v>
      </c>
      <c r="B377" t="s">
        <v>9</v>
      </c>
      <c r="C377" t="str">
        <f t="shared" si="5"/>
        <v>Y2Q4</v>
      </c>
      <c r="D377" t="s">
        <v>48</v>
      </c>
      <c r="E377" t="s">
        <v>20</v>
      </c>
      <c r="F377" t="s">
        <v>36</v>
      </c>
      <c r="G377" t="s">
        <v>73</v>
      </c>
      <c r="H377" t="s">
        <v>77</v>
      </c>
      <c r="I377" s="3">
        <v>0.12640000000000001</v>
      </c>
      <c r="J377">
        <v>13</v>
      </c>
    </row>
    <row r="378" spans="1:10">
      <c r="A378">
        <v>2</v>
      </c>
      <c r="B378" t="s">
        <v>9</v>
      </c>
      <c r="C378" t="str">
        <f t="shared" si="5"/>
        <v>Y2Q4</v>
      </c>
      <c r="D378" t="s">
        <v>49</v>
      </c>
      <c r="E378" t="s">
        <v>20</v>
      </c>
      <c r="F378" t="s">
        <v>50</v>
      </c>
      <c r="G378" t="s">
        <v>79</v>
      </c>
      <c r="H378" t="s">
        <v>91</v>
      </c>
      <c r="I378" s="3">
        <v>0.60309999999999997</v>
      </c>
      <c r="J378">
        <v>52</v>
      </c>
    </row>
    <row r="379" spans="1:10">
      <c r="A379">
        <v>2</v>
      </c>
      <c r="B379" t="s">
        <v>9</v>
      </c>
      <c r="C379" t="str">
        <f t="shared" si="5"/>
        <v>Y2Q4</v>
      </c>
      <c r="D379" t="s">
        <v>49</v>
      </c>
      <c r="E379" t="s">
        <v>20</v>
      </c>
      <c r="F379" t="s">
        <v>50</v>
      </c>
      <c r="G379" t="s">
        <v>73</v>
      </c>
      <c r="H379" t="s">
        <v>92</v>
      </c>
      <c r="I379" s="3">
        <v>0.26279999999999998</v>
      </c>
      <c r="J379">
        <v>23</v>
      </c>
    </row>
    <row r="380" spans="1:10">
      <c r="A380">
        <v>2</v>
      </c>
      <c r="B380" t="s">
        <v>9</v>
      </c>
      <c r="C380" t="str">
        <f t="shared" si="5"/>
        <v>Y2Q4</v>
      </c>
      <c r="D380" t="s">
        <v>49</v>
      </c>
      <c r="E380" t="s">
        <v>20</v>
      </c>
      <c r="F380" t="s">
        <v>50</v>
      </c>
      <c r="G380" t="s">
        <v>71</v>
      </c>
      <c r="H380" t="s">
        <v>93</v>
      </c>
      <c r="I380" s="3">
        <v>0.1341</v>
      </c>
      <c r="J380">
        <v>11</v>
      </c>
    </row>
    <row r="381" spans="1:10">
      <c r="A381">
        <v>2</v>
      </c>
      <c r="B381" t="s">
        <v>9</v>
      </c>
      <c r="C381" t="str">
        <f t="shared" si="5"/>
        <v>Y2Q4</v>
      </c>
      <c r="D381" t="s">
        <v>52</v>
      </c>
      <c r="E381" t="s">
        <v>23</v>
      </c>
      <c r="F381" t="s">
        <v>39</v>
      </c>
      <c r="G381" t="s">
        <v>71</v>
      </c>
      <c r="H381" t="s">
        <v>78</v>
      </c>
      <c r="I381" s="3">
        <v>0.29530000000000001</v>
      </c>
      <c r="J381">
        <v>21</v>
      </c>
    </row>
    <row r="382" spans="1:10">
      <c r="A382">
        <v>2</v>
      </c>
      <c r="B382" t="s">
        <v>9</v>
      </c>
      <c r="C382" t="str">
        <f t="shared" si="5"/>
        <v>Y2Q4</v>
      </c>
      <c r="D382" t="s">
        <v>52</v>
      </c>
      <c r="E382" t="s">
        <v>23</v>
      </c>
      <c r="F382" t="s">
        <v>39</v>
      </c>
      <c r="G382" t="s">
        <v>79</v>
      </c>
      <c r="H382" t="s">
        <v>80</v>
      </c>
      <c r="I382" s="3">
        <v>0.2631</v>
      </c>
      <c r="J382">
        <v>19</v>
      </c>
    </row>
    <row r="383" spans="1:10">
      <c r="A383">
        <v>2</v>
      </c>
      <c r="B383" t="s">
        <v>9</v>
      </c>
      <c r="C383" t="str">
        <f t="shared" si="5"/>
        <v>Y2Q4</v>
      </c>
      <c r="D383" t="s">
        <v>52</v>
      </c>
      <c r="E383" t="s">
        <v>23</v>
      </c>
      <c r="F383" t="s">
        <v>39</v>
      </c>
      <c r="G383" t="s">
        <v>73</v>
      </c>
      <c r="H383" t="s">
        <v>83</v>
      </c>
      <c r="I383" s="3">
        <v>0.19769999999999999</v>
      </c>
      <c r="J383">
        <v>14</v>
      </c>
    </row>
    <row r="384" spans="1:10">
      <c r="A384">
        <v>2</v>
      </c>
      <c r="B384" t="s">
        <v>9</v>
      </c>
      <c r="C384" t="str">
        <f t="shared" si="5"/>
        <v>Y2Q4</v>
      </c>
      <c r="D384" t="s">
        <v>52</v>
      </c>
      <c r="E384" t="s">
        <v>23</v>
      </c>
      <c r="F384" t="s">
        <v>39</v>
      </c>
      <c r="G384" t="s">
        <v>67</v>
      </c>
      <c r="H384" t="s">
        <v>81</v>
      </c>
      <c r="I384" s="3">
        <v>0.11600000000000001</v>
      </c>
      <c r="J384">
        <v>8</v>
      </c>
    </row>
    <row r="385" spans="1:10">
      <c r="A385">
        <v>2</v>
      </c>
      <c r="B385" t="s">
        <v>9</v>
      </c>
      <c r="C385" t="str">
        <f t="shared" si="5"/>
        <v>Y2Q4</v>
      </c>
      <c r="D385" t="s">
        <v>52</v>
      </c>
      <c r="E385" t="s">
        <v>23</v>
      </c>
      <c r="F385" t="s">
        <v>39</v>
      </c>
      <c r="G385" t="s">
        <v>69</v>
      </c>
      <c r="H385" t="s">
        <v>82</v>
      </c>
      <c r="I385" s="3">
        <v>0.12790000000000001</v>
      </c>
      <c r="J385">
        <v>10</v>
      </c>
    </row>
    <row r="386" spans="1:10">
      <c r="A386">
        <v>2</v>
      </c>
      <c r="B386" t="s">
        <v>9</v>
      </c>
      <c r="C386" t="str">
        <f t="shared" si="5"/>
        <v>Y2Q4</v>
      </c>
      <c r="D386" t="s">
        <v>53</v>
      </c>
      <c r="E386" t="s">
        <v>23</v>
      </c>
      <c r="F386" t="s">
        <v>54</v>
      </c>
      <c r="G386" t="s">
        <v>73</v>
      </c>
      <c r="H386" t="s">
        <v>94</v>
      </c>
      <c r="I386" s="3">
        <v>0.53510000000000002</v>
      </c>
      <c r="J386">
        <v>49</v>
      </c>
    </row>
    <row r="387" spans="1:10">
      <c r="A387">
        <v>2</v>
      </c>
      <c r="B387" t="s">
        <v>9</v>
      </c>
      <c r="C387" t="str">
        <f t="shared" ref="C387:C401" si="6">"Y"&amp;A387&amp;B387</f>
        <v>Y2Q4</v>
      </c>
      <c r="D387" t="s">
        <v>53</v>
      </c>
      <c r="E387" t="s">
        <v>23</v>
      </c>
      <c r="F387" t="s">
        <v>54</v>
      </c>
      <c r="G387" t="s">
        <v>79</v>
      </c>
      <c r="H387" t="s">
        <v>95</v>
      </c>
      <c r="I387" s="3">
        <v>0.3054</v>
      </c>
      <c r="J387">
        <v>28</v>
      </c>
    </row>
    <row r="388" spans="1:10">
      <c r="A388">
        <v>2</v>
      </c>
      <c r="B388" t="s">
        <v>9</v>
      </c>
      <c r="C388" t="str">
        <f t="shared" si="6"/>
        <v>Y2Q4</v>
      </c>
      <c r="D388" t="s">
        <v>53</v>
      </c>
      <c r="E388" t="s">
        <v>23</v>
      </c>
      <c r="F388" t="s">
        <v>54</v>
      </c>
      <c r="G388" t="s">
        <v>67</v>
      </c>
      <c r="H388" t="s">
        <v>96</v>
      </c>
      <c r="I388" s="3">
        <v>0.1595</v>
      </c>
      <c r="J388">
        <v>14</v>
      </c>
    </row>
    <row r="389" spans="1:10">
      <c r="A389">
        <v>2</v>
      </c>
      <c r="B389" t="s">
        <v>9</v>
      </c>
      <c r="C389" t="str">
        <f t="shared" si="6"/>
        <v>Y2Q4</v>
      </c>
      <c r="D389" t="s">
        <v>56</v>
      </c>
      <c r="E389" t="s">
        <v>23</v>
      </c>
      <c r="F389" t="s">
        <v>50</v>
      </c>
      <c r="G389" t="s">
        <v>79</v>
      </c>
      <c r="H389" t="s">
        <v>91</v>
      </c>
      <c r="I389" s="3">
        <v>0.46879999999999999</v>
      </c>
      <c r="J389">
        <v>30</v>
      </c>
    </row>
    <row r="390" spans="1:10">
      <c r="A390">
        <v>2</v>
      </c>
      <c r="B390" t="s">
        <v>9</v>
      </c>
      <c r="C390" t="str">
        <f t="shared" si="6"/>
        <v>Y2Q4</v>
      </c>
      <c r="D390" t="s">
        <v>56</v>
      </c>
      <c r="E390" t="s">
        <v>23</v>
      </c>
      <c r="F390" t="s">
        <v>50</v>
      </c>
      <c r="G390" t="s">
        <v>73</v>
      </c>
      <c r="H390" t="s">
        <v>92</v>
      </c>
      <c r="I390" s="3">
        <v>0.38879999999999998</v>
      </c>
      <c r="J390">
        <v>25</v>
      </c>
    </row>
    <row r="391" spans="1:10">
      <c r="A391">
        <v>2</v>
      </c>
      <c r="B391" t="s">
        <v>9</v>
      </c>
      <c r="C391" t="str">
        <f t="shared" si="6"/>
        <v>Y2Q4</v>
      </c>
      <c r="D391" t="s">
        <v>56</v>
      </c>
      <c r="E391" t="s">
        <v>23</v>
      </c>
      <c r="F391" t="s">
        <v>50</v>
      </c>
      <c r="G391" t="s">
        <v>71</v>
      </c>
      <c r="H391" t="s">
        <v>93</v>
      </c>
      <c r="I391" s="3">
        <v>0.1424</v>
      </c>
      <c r="J391">
        <v>9</v>
      </c>
    </row>
    <row r="392" spans="1:10">
      <c r="A392">
        <v>2</v>
      </c>
      <c r="B392" t="s">
        <v>9</v>
      </c>
      <c r="C392" t="str">
        <f t="shared" si="6"/>
        <v>Y2Q4</v>
      </c>
      <c r="D392" t="s">
        <v>57</v>
      </c>
      <c r="E392" t="s">
        <v>23</v>
      </c>
      <c r="F392" t="s">
        <v>43</v>
      </c>
      <c r="G392" t="s">
        <v>79</v>
      </c>
      <c r="H392" t="s">
        <v>84</v>
      </c>
      <c r="I392" s="3">
        <v>0.69389999999999996</v>
      </c>
      <c r="J392">
        <v>31</v>
      </c>
    </row>
    <row r="393" spans="1:10">
      <c r="A393">
        <v>2</v>
      </c>
      <c r="B393" t="s">
        <v>9</v>
      </c>
      <c r="C393" t="str">
        <f t="shared" si="6"/>
        <v>Y2Q4</v>
      </c>
      <c r="D393" t="s">
        <v>57</v>
      </c>
      <c r="E393" t="s">
        <v>23</v>
      </c>
      <c r="F393" t="s">
        <v>43</v>
      </c>
      <c r="G393" t="s">
        <v>69</v>
      </c>
      <c r="H393" t="s">
        <v>85</v>
      </c>
      <c r="I393" s="3">
        <v>0.18099999999999999</v>
      </c>
      <c r="J393">
        <v>8</v>
      </c>
    </row>
    <row r="394" spans="1:10">
      <c r="A394">
        <v>2</v>
      </c>
      <c r="B394" t="s">
        <v>9</v>
      </c>
      <c r="C394" t="str">
        <f t="shared" si="6"/>
        <v>Y2Q4</v>
      </c>
      <c r="D394" t="s">
        <v>57</v>
      </c>
      <c r="E394" t="s">
        <v>23</v>
      </c>
      <c r="F394" t="s">
        <v>43</v>
      </c>
      <c r="G394" t="s">
        <v>71</v>
      </c>
      <c r="H394" t="s">
        <v>86</v>
      </c>
      <c r="I394" s="3">
        <v>0.12509999999999999</v>
      </c>
      <c r="J394">
        <v>6</v>
      </c>
    </row>
    <row r="395" spans="1:10">
      <c r="A395">
        <v>2</v>
      </c>
      <c r="B395" t="s">
        <v>9</v>
      </c>
      <c r="C395" t="str">
        <f t="shared" si="6"/>
        <v>Y2Q4</v>
      </c>
      <c r="D395" t="s">
        <v>58</v>
      </c>
      <c r="E395" t="s">
        <v>26</v>
      </c>
      <c r="F395" t="s">
        <v>46</v>
      </c>
      <c r="G395" t="s">
        <v>69</v>
      </c>
      <c r="H395" t="s">
        <v>87</v>
      </c>
      <c r="I395" s="3">
        <v>0.41699999999999998</v>
      </c>
      <c r="J395">
        <v>46</v>
      </c>
    </row>
    <row r="396" spans="1:10">
      <c r="A396">
        <v>2</v>
      </c>
      <c r="B396" t="s">
        <v>9</v>
      </c>
      <c r="C396" t="str">
        <f t="shared" si="6"/>
        <v>Y2Q4</v>
      </c>
      <c r="D396" t="s">
        <v>58</v>
      </c>
      <c r="E396" t="s">
        <v>26</v>
      </c>
      <c r="F396" t="s">
        <v>46</v>
      </c>
      <c r="G396" t="s">
        <v>67</v>
      </c>
      <c r="H396" t="s">
        <v>89</v>
      </c>
      <c r="I396" s="3">
        <v>0.3211</v>
      </c>
      <c r="J396">
        <v>36</v>
      </c>
    </row>
    <row r="397" spans="1:10">
      <c r="A397">
        <v>2</v>
      </c>
      <c r="B397" t="s">
        <v>9</v>
      </c>
      <c r="C397" t="str">
        <f t="shared" si="6"/>
        <v>Y2Q4</v>
      </c>
      <c r="D397" t="s">
        <v>58</v>
      </c>
      <c r="E397" t="s">
        <v>26</v>
      </c>
      <c r="F397" t="s">
        <v>46</v>
      </c>
      <c r="G397" t="s">
        <v>79</v>
      </c>
      <c r="H397" t="s">
        <v>88</v>
      </c>
      <c r="I397" s="3">
        <v>0.2049</v>
      </c>
      <c r="J397">
        <v>23</v>
      </c>
    </row>
    <row r="398" spans="1:10">
      <c r="A398">
        <v>2</v>
      </c>
      <c r="B398" t="s">
        <v>9</v>
      </c>
      <c r="C398" t="str">
        <f t="shared" si="6"/>
        <v>Y2Q4</v>
      </c>
      <c r="D398" t="s">
        <v>58</v>
      </c>
      <c r="E398" t="s">
        <v>26</v>
      </c>
      <c r="F398" t="s">
        <v>46</v>
      </c>
      <c r="G398" t="s">
        <v>71</v>
      </c>
      <c r="H398" t="s">
        <v>90</v>
      </c>
      <c r="I398" s="3">
        <v>5.7099999999999998E-2</v>
      </c>
      <c r="J398">
        <v>6</v>
      </c>
    </row>
    <row r="399" spans="1:10">
      <c r="A399">
        <v>2</v>
      </c>
      <c r="B399" t="s">
        <v>9</v>
      </c>
      <c r="C399" t="str">
        <f t="shared" si="6"/>
        <v>Y2Q4</v>
      </c>
      <c r="D399" t="s">
        <v>59</v>
      </c>
      <c r="E399" t="s">
        <v>26</v>
      </c>
      <c r="F399" t="s">
        <v>54</v>
      </c>
      <c r="G399" t="s">
        <v>73</v>
      </c>
      <c r="H399" t="s">
        <v>94</v>
      </c>
      <c r="I399" s="3">
        <v>0.44500000000000001</v>
      </c>
      <c r="J399">
        <v>31</v>
      </c>
    </row>
    <row r="400" spans="1:10">
      <c r="A400">
        <v>2</v>
      </c>
      <c r="B400" t="s">
        <v>9</v>
      </c>
      <c r="C400" t="str">
        <f t="shared" si="6"/>
        <v>Y2Q4</v>
      </c>
      <c r="D400" t="s">
        <v>59</v>
      </c>
      <c r="E400" t="s">
        <v>26</v>
      </c>
      <c r="F400" t="s">
        <v>54</v>
      </c>
      <c r="G400" t="s">
        <v>79</v>
      </c>
      <c r="H400" t="s">
        <v>95</v>
      </c>
      <c r="I400" s="3">
        <v>0.34029999999999999</v>
      </c>
      <c r="J400">
        <v>23</v>
      </c>
    </row>
    <row r="401" spans="1:10">
      <c r="A401">
        <v>2</v>
      </c>
      <c r="B401" t="s">
        <v>9</v>
      </c>
      <c r="C401" t="str">
        <f t="shared" si="6"/>
        <v>Y2Q4</v>
      </c>
      <c r="D401" t="s">
        <v>59</v>
      </c>
      <c r="E401" t="s">
        <v>26</v>
      </c>
      <c r="F401" t="s">
        <v>54</v>
      </c>
      <c r="G401" t="s">
        <v>67</v>
      </c>
      <c r="H401" t="s">
        <v>96</v>
      </c>
      <c r="I401" s="3">
        <v>0.2147</v>
      </c>
      <c r="J401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BCCFC-384C-E840-9994-388B327B25C4}">
  <dimension ref="A1:P201"/>
  <sheetViews>
    <sheetView workbookViewId="0">
      <selection activeCell="I9" sqref="I9"/>
    </sheetView>
  </sheetViews>
  <sheetFormatPr baseColWidth="10" defaultRowHeight="15"/>
  <cols>
    <col min="1" max="1" width="12.5" customWidth="1"/>
    <col min="2" max="2" width="8.1640625" customWidth="1"/>
    <col min="3" max="3" width="5.6640625" customWidth="1"/>
    <col min="4" max="4" width="8" customWidth="1"/>
    <col min="7" max="7" width="15.33203125" customWidth="1"/>
    <col min="8" max="8" width="17" customWidth="1"/>
    <col min="9" max="9" width="13.1640625" customWidth="1"/>
    <col min="10" max="10" width="12" customWidth="1"/>
  </cols>
  <sheetData>
    <row r="1" spans="1:16" s="1" customFormat="1">
      <c r="A1" s="1" t="s">
        <v>166</v>
      </c>
      <c r="B1" s="1" t="s">
        <v>161</v>
      </c>
      <c r="C1" s="1" t="s">
        <v>0</v>
      </c>
      <c r="D1" s="1" t="s">
        <v>1</v>
      </c>
      <c r="E1" s="1" t="s">
        <v>63</v>
      </c>
      <c r="F1" s="1" t="s">
        <v>97</v>
      </c>
      <c r="G1" s="1" t="s">
        <v>167</v>
      </c>
      <c r="H1" s="1" t="s">
        <v>168</v>
      </c>
      <c r="I1" s="1" t="s">
        <v>60</v>
      </c>
      <c r="J1" s="1" t="s">
        <v>153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</row>
    <row r="2" spans="1:16">
      <c r="A2">
        <f>(C2-1)*4+VALUE(RIGHT(D2,1))</f>
        <v>1</v>
      </c>
      <c r="B2" t="s">
        <v>162</v>
      </c>
      <c r="C2">
        <v>1</v>
      </c>
      <c r="D2" t="s">
        <v>6</v>
      </c>
      <c r="E2" t="s">
        <v>71</v>
      </c>
      <c r="F2" t="s">
        <v>72</v>
      </c>
      <c r="G2" t="str">
        <f>E2&amp;"_"&amp;F2</f>
        <v>Firm A_Alec</v>
      </c>
      <c r="H2" t="str">
        <f>B2&amp;"_"&amp;G2</f>
        <v>Y1Q1_Firm A_Alec</v>
      </c>
      <c r="I2" t="s">
        <v>33</v>
      </c>
      <c r="J2">
        <v>15351</v>
      </c>
      <c r="K2">
        <v>14</v>
      </c>
      <c r="L2">
        <v>135</v>
      </c>
      <c r="M2">
        <v>2</v>
      </c>
      <c r="N2">
        <v>1</v>
      </c>
      <c r="O2">
        <v>3</v>
      </c>
      <c r="P2">
        <v>2</v>
      </c>
    </row>
    <row r="3" spans="1:16">
      <c r="A3">
        <f t="shared" ref="A3:A66" si="0">(C3-1)*4+VALUE(RIGHT(D3,1))</f>
        <v>1</v>
      </c>
      <c r="B3" t="s">
        <v>162</v>
      </c>
      <c r="C3">
        <v>1</v>
      </c>
      <c r="D3" t="s">
        <v>6</v>
      </c>
      <c r="E3" t="s">
        <v>71</v>
      </c>
      <c r="F3" t="s">
        <v>78</v>
      </c>
      <c r="G3" t="str">
        <f t="shared" ref="G3:G66" si="1">E3&amp;"_"&amp;F3</f>
        <v>Firm A_Alfa</v>
      </c>
      <c r="H3" t="str">
        <f t="shared" ref="H3:H66" si="2">B3&amp;"_"&amp;G3</f>
        <v>Y1Q1_Firm A_Alfa</v>
      </c>
      <c r="I3" t="s">
        <v>39</v>
      </c>
      <c r="J3">
        <v>24084</v>
      </c>
      <c r="K3">
        <v>28</v>
      </c>
      <c r="L3">
        <v>165</v>
      </c>
      <c r="M3">
        <v>2</v>
      </c>
      <c r="N3">
        <v>1</v>
      </c>
      <c r="O3">
        <v>3</v>
      </c>
      <c r="P3">
        <v>2</v>
      </c>
    </row>
    <row r="4" spans="1:16">
      <c r="A4">
        <f t="shared" si="0"/>
        <v>1</v>
      </c>
      <c r="B4" t="s">
        <v>162</v>
      </c>
      <c r="C4">
        <v>1</v>
      </c>
      <c r="D4" t="s">
        <v>6</v>
      </c>
      <c r="E4" t="s">
        <v>71</v>
      </c>
      <c r="F4" t="s">
        <v>93</v>
      </c>
      <c r="G4" t="str">
        <f t="shared" si="1"/>
        <v>Firm A_Apex</v>
      </c>
      <c r="H4" t="str">
        <f t="shared" si="2"/>
        <v>Y1Q1_Firm A_Apex</v>
      </c>
      <c r="I4" t="s">
        <v>50</v>
      </c>
      <c r="J4">
        <v>31500</v>
      </c>
      <c r="K4">
        <v>48</v>
      </c>
      <c r="L4">
        <v>205</v>
      </c>
      <c r="M4">
        <v>3</v>
      </c>
      <c r="N4">
        <v>3</v>
      </c>
      <c r="O4">
        <v>2</v>
      </c>
      <c r="P4">
        <v>1</v>
      </c>
    </row>
    <row r="5" spans="1:16">
      <c r="A5">
        <f t="shared" si="0"/>
        <v>1</v>
      </c>
      <c r="B5" t="s">
        <v>162</v>
      </c>
      <c r="C5">
        <v>1</v>
      </c>
      <c r="D5" t="s">
        <v>6</v>
      </c>
      <c r="E5" t="s">
        <v>71</v>
      </c>
      <c r="F5" t="s">
        <v>86</v>
      </c>
      <c r="G5" t="str">
        <f t="shared" si="1"/>
        <v>Firm A_Atlas</v>
      </c>
      <c r="H5" t="str">
        <f t="shared" si="2"/>
        <v>Y1Q1_Firm A_Atlas</v>
      </c>
      <c r="I5" t="s">
        <v>43</v>
      </c>
      <c r="J5">
        <v>26800</v>
      </c>
      <c r="K5">
        <v>78</v>
      </c>
      <c r="L5">
        <v>195</v>
      </c>
      <c r="M5">
        <v>2</v>
      </c>
      <c r="N5">
        <v>2</v>
      </c>
      <c r="O5">
        <v>3</v>
      </c>
      <c r="P5">
        <v>3</v>
      </c>
    </row>
    <row r="6" spans="1:16">
      <c r="A6">
        <f t="shared" si="0"/>
        <v>1</v>
      </c>
      <c r="B6" t="s">
        <v>162</v>
      </c>
      <c r="C6">
        <v>1</v>
      </c>
      <c r="D6" t="s">
        <v>6</v>
      </c>
      <c r="E6" t="s">
        <v>71</v>
      </c>
      <c r="F6" t="s">
        <v>90</v>
      </c>
      <c r="G6" t="str">
        <f t="shared" si="1"/>
        <v>Firm A_Awesome</v>
      </c>
      <c r="H6" t="str">
        <f t="shared" si="2"/>
        <v>Y1Q1_Firm A_Awesome</v>
      </c>
      <c r="I6" t="s">
        <v>46</v>
      </c>
      <c r="J6">
        <v>21149</v>
      </c>
      <c r="K6">
        <v>40</v>
      </c>
      <c r="L6">
        <v>220</v>
      </c>
      <c r="M6">
        <v>1</v>
      </c>
      <c r="N6">
        <v>1</v>
      </c>
      <c r="O6">
        <v>1</v>
      </c>
      <c r="P6">
        <v>2</v>
      </c>
    </row>
    <row r="7" spans="1:16">
      <c r="A7">
        <f t="shared" si="0"/>
        <v>1</v>
      </c>
      <c r="B7" t="s">
        <v>162</v>
      </c>
      <c r="C7">
        <v>1</v>
      </c>
      <c r="D7" t="s">
        <v>6</v>
      </c>
      <c r="E7" t="s">
        <v>73</v>
      </c>
      <c r="F7" t="s">
        <v>94</v>
      </c>
      <c r="G7" t="str">
        <f t="shared" si="1"/>
        <v>Firm B_Beaut</v>
      </c>
      <c r="H7" t="str">
        <f t="shared" si="2"/>
        <v>Y1Q1_Firm B_Beaut</v>
      </c>
      <c r="I7" t="s">
        <v>54</v>
      </c>
      <c r="J7">
        <v>38385</v>
      </c>
      <c r="K7">
        <v>62</v>
      </c>
      <c r="L7">
        <v>240</v>
      </c>
      <c r="M7">
        <v>2</v>
      </c>
      <c r="N7">
        <v>4</v>
      </c>
      <c r="O7">
        <v>2</v>
      </c>
      <c r="P7">
        <v>2</v>
      </c>
    </row>
    <row r="8" spans="1:16">
      <c r="A8">
        <f t="shared" si="0"/>
        <v>1</v>
      </c>
      <c r="B8" t="s">
        <v>162</v>
      </c>
      <c r="C8">
        <v>1</v>
      </c>
      <c r="D8" t="s">
        <v>6</v>
      </c>
      <c r="E8" t="s">
        <v>73</v>
      </c>
      <c r="F8" t="s">
        <v>83</v>
      </c>
      <c r="G8" t="str">
        <f t="shared" si="1"/>
        <v>Firm B_Boffo</v>
      </c>
      <c r="H8" t="str">
        <f t="shared" si="2"/>
        <v>Y1Q1_Firm B_Boffo</v>
      </c>
      <c r="I8" t="s">
        <v>39</v>
      </c>
      <c r="J8">
        <v>35003</v>
      </c>
      <c r="K8">
        <v>49</v>
      </c>
      <c r="L8">
        <v>200</v>
      </c>
      <c r="M8">
        <v>4</v>
      </c>
      <c r="N8">
        <v>3</v>
      </c>
      <c r="O8">
        <v>2</v>
      </c>
      <c r="P8">
        <v>2</v>
      </c>
    </row>
    <row r="9" spans="1:16">
      <c r="A9">
        <f t="shared" si="0"/>
        <v>1</v>
      </c>
      <c r="B9" t="s">
        <v>162</v>
      </c>
      <c r="C9">
        <v>1</v>
      </c>
      <c r="D9" t="s">
        <v>6</v>
      </c>
      <c r="E9" t="s">
        <v>73</v>
      </c>
      <c r="F9" t="s">
        <v>74</v>
      </c>
      <c r="G9" t="str">
        <f t="shared" si="1"/>
        <v>Firm B_Breeze</v>
      </c>
      <c r="H9" t="str">
        <f t="shared" si="2"/>
        <v>Y1Q1_Firm B_Breeze</v>
      </c>
      <c r="I9" t="s">
        <v>33</v>
      </c>
      <c r="J9">
        <v>16900</v>
      </c>
      <c r="K9">
        <v>18</v>
      </c>
      <c r="L9">
        <v>130</v>
      </c>
      <c r="M9">
        <v>2</v>
      </c>
      <c r="N9">
        <v>2</v>
      </c>
      <c r="O9">
        <v>2</v>
      </c>
      <c r="P9">
        <v>3</v>
      </c>
    </row>
    <row r="10" spans="1:16">
      <c r="A10">
        <f t="shared" si="0"/>
        <v>1</v>
      </c>
      <c r="B10" t="s">
        <v>162</v>
      </c>
      <c r="C10">
        <v>1</v>
      </c>
      <c r="D10" t="s">
        <v>6</v>
      </c>
      <c r="E10" t="s">
        <v>73</v>
      </c>
      <c r="F10" t="s">
        <v>77</v>
      </c>
      <c r="G10" t="str">
        <f t="shared" si="1"/>
        <v>Firm B_Brute</v>
      </c>
      <c r="H10" t="str">
        <f t="shared" si="2"/>
        <v>Y1Q1_Firm B_Brute</v>
      </c>
      <c r="I10" t="s">
        <v>36</v>
      </c>
      <c r="J10">
        <v>24900</v>
      </c>
      <c r="K10">
        <v>72</v>
      </c>
      <c r="L10">
        <v>250</v>
      </c>
      <c r="M10">
        <v>2</v>
      </c>
      <c r="N10">
        <v>2</v>
      </c>
      <c r="O10">
        <v>2</v>
      </c>
      <c r="P10">
        <v>2</v>
      </c>
    </row>
    <row r="11" spans="1:16">
      <c r="A11">
        <f t="shared" si="0"/>
        <v>1</v>
      </c>
      <c r="B11" t="s">
        <v>162</v>
      </c>
      <c r="C11">
        <v>1</v>
      </c>
      <c r="D11" t="s">
        <v>6</v>
      </c>
      <c r="E11" t="s">
        <v>73</v>
      </c>
      <c r="F11" t="s">
        <v>92</v>
      </c>
      <c r="G11" t="str">
        <f t="shared" si="1"/>
        <v>Firm B_Buzzy</v>
      </c>
      <c r="H11" t="str">
        <f t="shared" si="2"/>
        <v>Y1Q1_Firm B_Buzzy</v>
      </c>
      <c r="I11" t="s">
        <v>50</v>
      </c>
      <c r="J11">
        <v>34652</v>
      </c>
      <c r="K11">
        <v>54</v>
      </c>
      <c r="L11">
        <v>190</v>
      </c>
      <c r="M11">
        <v>3</v>
      </c>
      <c r="N11">
        <v>3</v>
      </c>
      <c r="O11">
        <v>2</v>
      </c>
      <c r="P11">
        <v>2</v>
      </c>
    </row>
    <row r="12" spans="1:16">
      <c r="A12">
        <f t="shared" si="0"/>
        <v>1</v>
      </c>
      <c r="B12" t="s">
        <v>162</v>
      </c>
      <c r="C12">
        <v>1</v>
      </c>
      <c r="D12" t="s">
        <v>6</v>
      </c>
      <c r="E12" t="s">
        <v>79</v>
      </c>
      <c r="F12" t="s">
        <v>80</v>
      </c>
      <c r="G12" t="str">
        <f t="shared" si="1"/>
        <v>Firm C_Cafav</v>
      </c>
      <c r="H12" t="str">
        <f t="shared" si="2"/>
        <v>Y1Q1_Firm C_Cafav</v>
      </c>
      <c r="I12" t="s">
        <v>39</v>
      </c>
      <c r="J12">
        <v>31361</v>
      </c>
      <c r="K12">
        <v>49</v>
      </c>
      <c r="L12">
        <v>165</v>
      </c>
      <c r="M12">
        <v>4</v>
      </c>
      <c r="N12">
        <v>2</v>
      </c>
      <c r="O12">
        <v>2</v>
      </c>
      <c r="P12">
        <v>2</v>
      </c>
    </row>
    <row r="13" spans="1:16">
      <c r="A13">
        <f t="shared" si="0"/>
        <v>1</v>
      </c>
      <c r="B13" t="s">
        <v>162</v>
      </c>
      <c r="C13">
        <v>1</v>
      </c>
      <c r="D13" t="s">
        <v>6</v>
      </c>
      <c r="E13" t="s">
        <v>79</v>
      </c>
      <c r="F13" t="s">
        <v>84</v>
      </c>
      <c r="G13" t="str">
        <f t="shared" si="1"/>
        <v>Firm C_Camini</v>
      </c>
      <c r="H13" t="str">
        <f t="shared" si="2"/>
        <v>Y1Q1_Firm C_Camini</v>
      </c>
      <c r="I13" t="s">
        <v>43</v>
      </c>
      <c r="J13">
        <v>24144</v>
      </c>
      <c r="K13">
        <v>82</v>
      </c>
      <c r="L13">
        <v>200</v>
      </c>
      <c r="M13">
        <v>2</v>
      </c>
      <c r="N13">
        <v>1</v>
      </c>
      <c r="O13">
        <v>2</v>
      </c>
      <c r="P13">
        <v>1</v>
      </c>
    </row>
    <row r="14" spans="1:16">
      <c r="A14">
        <f t="shared" si="0"/>
        <v>1</v>
      </c>
      <c r="B14" t="s">
        <v>162</v>
      </c>
      <c r="C14">
        <v>1</v>
      </c>
      <c r="D14" t="s">
        <v>6</v>
      </c>
      <c r="E14" t="s">
        <v>79</v>
      </c>
      <c r="F14" t="s">
        <v>95</v>
      </c>
      <c r="G14" t="str">
        <f t="shared" si="1"/>
        <v>Firm C_Climax</v>
      </c>
      <c r="H14" t="str">
        <f t="shared" si="2"/>
        <v>Y1Q1_Firm C_Climax</v>
      </c>
      <c r="I14" t="s">
        <v>54</v>
      </c>
      <c r="J14">
        <v>45997</v>
      </c>
      <c r="K14">
        <v>74</v>
      </c>
      <c r="L14">
        <v>240</v>
      </c>
      <c r="M14">
        <v>4</v>
      </c>
      <c r="N14">
        <v>2</v>
      </c>
      <c r="O14">
        <v>2</v>
      </c>
      <c r="P14">
        <v>2</v>
      </c>
    </row>
    <row r="15" spans="1:16">
      <c r="A15">
        <f t="shared" si="0"/>
        <v>1</v>
      </c>
      <c r="B15" t="s">
        <v>162</v>
      </c>
      <c r="C15">
        <v>1</v>
      </c>
      <c r="D15" t="s">
        <v>6</v>
      </c>
      <c r="E15" t="s">
        <v>79</v>
      </c>
      <c r="F15" t="s">
        <v>91</v>
      </c>
      <c r="G15" t="str">
        <f t="shared" si="1"/>
        <v>Firm C_Corsa</v>
      </c>
      <c r="H15" t="str">
        <f t="shared" si="2"/>
        <v>Y1Q1_Firm C_Corsa</v>
      </c>
      <c r="I15" t="s">
        <v>50</v>
      </c>
      <c r="J15">
        <v>33900</v>
      </c>
      <c r="K15">
        <v>52</v>
      </c>
      <c r="L15">
        <v>215</v>
      </c>
      <c r="M15">
        <v>3</v>
      </c>
      <c r="N15">
        <v>4</v>
      </c>
      <c r="O15">
        <v>2</v>
      </c>
      <c r="P15">
        <v>3</v>
      </c>
    </row>
    <row r="16" spans="1:16">
      <c r="A16">
        <f t="shared" si="0"/>
        <v>1</v>
      </c>
      <c r="B16" t="s">
        <v>162</v>
      </c>
      <c r="C16">
        <v>1</v>
      </c>
      <c r="D16" t="s">
        <v>6</v>
      </c>
      <c r="E16" t="s">
        <v>79</v>
      </c>
      <c r="F16" t="s">
        <v>88</v>
      </c>
      <c r="G16" t="str">
        <f t="shared" si="1"/>
        <v>Firm C_Cruise</v>
      </c>
      <c r="H16" t="str">
        <f t="shared" si="2"/>
        <v>Y1Q1_Firm C_Cruise</v>
      </c>
      <c r="I16" t="s">
        <v>46</v>
      </c>
      <c r="J16">
        <v>27900</v>
      </c>
      <c r="K16">
        <v>58</v>
      </c>
      <c r="L16">
        <v>210</v>
      </c>
      <c r="M16">
        <v>3</v>
      </c>
      <c r="N16">
        <v>3</v>
      </c>
      <c r="O16">
        <v>3</v>
      </c>
      <c r="P16">
        <v>2</v>
      </c>
    </row>
    <row r="17" spans="1:16">
      <c r="A17">
        <f t="shared" si="0"/>
        <v>1</v>
      </c>
      <c r="B17" t="s">
        <v>162</v>
      </c>
      <c r="C17">
        <v>1</v>
      </c>
      <c r="D17" t="s">
        <v>6</v>
      </c>
      <c r="E17" t="s">
        <v>67</v>
      </c>
      <c r="F17" t="s">
        <v>81</v>
      </c>
      <c r="G17" t="str">
        <f t="shared" si="1"/>
        <v>Firm D_Defy</v>
      </c>
      <c r="H17" t="str">
        <f t="shared" si="2"/>
        <v>Y1Q1_Firm D_Defy</v>
      </c>
      <c r="I17" t="s">
        <v>39</v>
      </c>
      <c r="J17">
        <v>25922</v>
      </c>
      <c r="K17">
        <v>43</v>
      </c>
      <c r="L17">
        <v>165</v>
      </c>
      <c r="M17">
        <v>2</v>
      </c>
      <c r="N17">
        <v>1</v>
      </c>
      <c r="O17">
        <v>3</v>
      </c>
      <c r="P17">
        <v>2</v>
      </c>
    </row>
    <row r="18" spans="1:16">
      <c r="A18">
        <f t="shared" si="0"/>
        <v>1</v>
      </c>
      <c r="B18" t="s">
        <v>162</v>
      </c>
      <c r="C18">
        <v>1</v>
      </c>
      <c r="D18" t="s">
        <v>6</v>
      </c>
      <c r="E18" t="s">
        <v>67</v>
      </c>
      <c r="F18" t="s">
        <v>68</v>
      </c>
      <c r="G18" t="str">
        <f t="shared" si="1"/>
        <v>Firm D_Delite</v>
      </c>
      <c r="H18" t="str">
        <f t="shared" si="2"/>
        <v>Y1Q1_Firm D_Delite</v>
      </c>
      <c r="I18" t="s">
        <v>33</v>
      </c>
      <c r="J18">
        <v>11293</v>
      </c>
      <c r="K18">
        <v>5</v>
      </c>
      <c r="L18">
        <v>85</v>
      </c>
      <c r="M18">
        <v>1</v>
      </c>
      <c r="N18">
        <v>1</v>
      </c>
      <c r="O18">
        <v>1</v>
      </c>
      <c r="P18">
        <v>1</v>
      </c>
    </row>
    <row r="19" spans="1:16">
      <c r="A19">
        <f t="shared" si="0"/>
        <v>1</v>
      </c>
      <c r="B19" t="s">
        <v>162</v>
      </c>
      <c r="C19">
        <v>1</v>
      </c>
      <c r="D19" t="s">
        <v>6</v>
      </c>
      <c r="E19" t="s">
        <v>67</v>
      </c>
      <c r="F19" t="s">
        <v>76</v>
      </c>
      <c r="G19" t="str">
        <f t="shared" si="1"/>
        <v>Firm D_Detonka</v>
      </c>
      <c r="H19" t="str">
        <f t="shared" si="2"/>
        <v>Y1Q1_Firm D_Detonka</v>
      </c>
      <c r="I19" t="s">
        <v>36</v>
      </c>
      <c r="J19">
        <v>19572</v>
      </c>
      <c r="K19">
        <v>66</v>
      </c>
      <c r="L19">
        <v>185</v>
      </c>
      <c r="M19">
        <v>1</v>
      </c>
      <c r="N19">
        <v>1</v>
      </c>
      <c r="O19">
        <v>1</v>
      </c>
      <c r="P19">
        <v>1</v>
      </c>
    </row>
    <row r="20" spans="1:16">
      <c r="A20">
        <f t="shared" si="0"/>
        <v>1</v>
      </c>
      <c r="B20" t="s">
        <v>162</v>
      </c>
      <c r="C20">
        <v>1</v>
      </c>
      <c r="D20" t="s">
        <v>6</v>
      </c>
      <c r="E20" t="s">
        <v>67</v>
      </c>
      <c r="F20" t="s">
        <v>89</v>
      </c>
      <c r="G20" t="str">
        <f t="shared" si="1"/>
        <v>Firm D_Dventure</v>
      </c>
      <c r="H20" t="str">
        <f t="shared" si="2"/>
        <v>Y1Q1_Firm D_Dventure</v>
      </c>
      <c r="I20" t="s">
        <v>46</v>
      </c>
      <c r="J20">
        <v>28900</v>
      </c>
      <c r="K20">
        <v>61</v>
      </c>
      <c r="L20">
        <v>225</v>
      </c>
      <c r="M20">
        <v>2</v>
      </c>
      <c r="N20">
        <v>3</v>
      </c>
      <c r="O20">
        <v>3</v>
      </c>
      <c r="P20">
        <v>3</v>
      </c>
    </row>
    <row r="21" spans="1:16">
      <c r="A21">
        <f t="shared" si="0"/>
        <v>1</v>
      </c>
      <c r="B21" t="s">
        <v>162</v>
      </c>
      <c r="C21">
        <v>1</v>
      </c>
      <c r="D21" t="s">
        <v>6</v>
      </c>
      <c r="E21" t="s">
        <v>67</v>
      </c>
      <c r="F21" t="s">
        <v>96</v>
      </c>
      <c r="G21" t="str">
        <f t="shared" si="1"/>
        <v>Firm D_Dynamo</v>
      </c>
      <c r="H21" t="str">
        <f t="shared" si="2"/>
        <v>Y1Q1_Firm D_Dynamo</v>
      </c>
      <c r="I21" t="s">
        <v>54</v>
      </c>
      <c r="J21">
        <v>41900</v>
      </c>
      <c r="K21">
        <v>68</v>
      </c>
      <c r="L21">
        <v>245</v>
      </c>
      <c r="M21">
        <v>3</v>
      </c>
      <c r="N21">
        <v>3</v>
      </c>
      <c r="O21">
        <v>3</v>
      </c>
      <c r="P21">
        <v>2</v>
      </c>
    </row>
    <row r="22" spans="1:16">
      <c r="A22">
        <f t="shared" si="0"/>
        <v>1</v>
      </c>
      <c r="B22" t="s">
        <v>162</v>
      </c>
      <c r="C22">
        <v>1</v>
      </c>
      <c r="D22" t="s">
        <v>6</v>
      </c>
      <c r="E22" t="s">
        <v>69</v>
      </c>
      <c r="F22" t="s">
        <v>70</v>
      </c>
      <c r="G22" t="str">
        <f t="shared" si="1"/>
        <v>Firm E_Econo</v>
      </c>
      <c r="H22" t="str">
        <f t="shared" si="2"/>
        <v>Y1Q1_Firm E_Econo</v>
      </c>
      <c r="I22" t="s">
        <v>33</v>
      </c>
      <c r="J22">
        <v>14900</v>
      </c>
      <c r="K22">
        <v>16</v>
      </c>
      <c r="L22">
        <v>120</v>
      </c>
      <c r="M22">
        <v>2</v>
      </c>
      <c r="N22">
        <v>2</v>
      </c>
      <c r="O22">
        <v>2</v>
      </c>
      <c r="P22">
        <v>1</v>
      </c>
    </row>
    <row r="23" spans="1:16">
      <c r="A23">
        <f t="shared" si="0"/>
        <v>1</v>
      </c>
      <c r="B23" t="s">
        <v>162</v>
      </c>
      <c r="C23">
        <v>1</v>
      </c>
      <c r="D23" t="s">
        <v>6</v>
      </c>
      <c r="E23" t="s">
        <v>69</v>
      </c>
      <c r="F23" t="s">
        <v>82</v>
      </c>
      <c r="G23" t="str">
        <f t="shared" si="1"/>
        <v>Firm E_Efizz</v>
      </c>
      <c r="H23" t="str">
        <f t="shared" si="2"/>
        <v>Y1Q1_Firm E_Efizz</v>
      </c>
      <c r="I23" t="s">
        <v>39</v>
      </c>
      <c r="J23">
        <v>18869</v>
      </c>
      <c r="K23">
        <v>35</v>
      </c>
      <c r="L23">
        <v>140</v>
      </c>
      <c r="M23">
        <v>1</v>
      </c>
      <c r="N23">
        <v>1</v>
      </c>
      <c r="O23">
        <v>2</v>
      </c>
      <c r="P23">
        <v>2</v>
      </c>
    </row>
    <row r="24" spans="1:16">
      <c r="A24">
        <f t="shared" si="0"/>
        <v>1</v>
      </c>
      <c r="B24" t="s">
        <v>162</v>
      </c>
      <c r="C24">
        <v>1</v>
      </c>
      <c r="D24" t="s">
        <v>6</v>
      </c>
      <c r="E24" t="s">
        <v>69</v>
      </c>
      <c r="F24" t="s">
        <v>85</v>
      </c>
      <c r="G24" t="str">
        <f t="shared" si="1"/>
        <v>Firm E_Espace</v>
      </c>
      <c r="H24" t="str">
        <f t="shared" si="2"/>
        <v>Y1Q1_Firm E_Espace</v>
      </c>
      <c r="I24" t="s">
        <v>43</v>
      </c>
      <c r="J24">
        <v>25900</v>
      </c>
      <c r="K24">
        <v>80</v>
      </c>
      <c r="L24">
        <v>185</v>
      </c>
      <c r="M24">
        <v>2</v>
      </c>
      <c r="N24">
        <v>2</v>
      </c>
      <c r="O24">
        <v>3</v>
      </c>
      <c r="P24">
        <v>1</v>
      </c>
    </row>
    <row r="25" spans="1:16">
      <c r="A25">
        <f t="shared" si="0"/>
        <v>1</v>
      </c>
      <c r="B25" t="s">
        <v>162</v>
      </c>
      <c r="C25">
        <v>1</v>
      </c>
      <c r="D25" t="s">
        <v>6</v>
      </c>
      <c r="E25" t="s">
        <v>69</v>
      </c>
      <c r="F25" t="s">
        <v>75</v>
      </c>
      <c r="G25" t="str">
        <f t="shared" si="1"/>
        <v>Firm E_Estruck</v>
      </c>
      <c r="H25" t="str">
        <f t="shared" si="2"/>
        <v>Y1Q1_Firm E_Estruck</v>
      </c>
      <c r="I25" t="s">
        <v>36</v>
      </c>
      <c r="J25">
        <v>21843</v>
      </c>
      <c r="K25">
        <v>75</v>
      </c>
      <c r="L25">
        <v>280</v>
      </c>
      <c r="M25">
        <v>1</v>
      </c>
      <c r="N25">
        <v>1</v>
      </c>
      <c r="O25">
        <v>1</v>
      </c>
      <c r="P25">
        <v>2</v>
      </c>
    </row>
    <row r="26" spans="1:16">
      <c r="A26">
        <f t="shared" si="0"/>
        <v>1</v>
      </c>
      <c r="B26" t="s">
        <v>162</v>
      </c>
      <c r="C26">
        <v>1</v>
      </c>
      <c r="D26" t="s">
        <v>6</v>
      </c>
      <c r="E26" t="s">
        <v>69</v>
      </c>
      <c r="F26" t="s">
        <v>87</v>
      </c>
      <c r="G26" t="str">
        <f t="shared" si="1"/>
        <v>Firm E_Euro</v>
      </c>
      <c r="H26" t="str">
        <f t="shared" si="2"/>
        <v>Y1Q1_Firm E_Euro</v>
      </c>
      <c r="I26" t="s">
        <v>46</v>
      </c>
      <c r="J26">
        <v>26528</v>
      </c>
      <c r="K26">
        <v>59</v>
      </c>
      <c r="L26">
        <v>200</v>
      </c>
      <c r="M26">
        <v>1</v>
      </c>
      <c r="N26">
        <v>3</v>
      </c>
      <c r="O26">
        <v>1</v>
      </c>
      <c r="P26">
        <v>2</v>
      </c>
    </row>
    <row r="27" spans="1:16">
      <c r="A27">
        <f t="shared" si="0"/>
        <v>2</v>
      </c>
      <c r="B27" t="s">
        <v>162</v>
      </c>
      <c r="C27">
        <v>1</v>
      </c>
      <c r="D27" t="s">
        <v>7</v>
      </c>
      <c r="E27" t="s">
        <v>71</v>
      </c>
      <c r="F27" t="s">
        <v>72</v>
      </c>
      <c r="G27" t="str">
        <f t="shared" si="1"/>
        <v>Firm A_Alec</v>
      </c>
      <c r="H27" t="str">
        <f t="shared" si="2"/>
        <v>Y1Q1_Firm A_Alec</v>
      </c>
      <c r="I27" t="s">
        <v>33</v>
      </c>
      <c r="J27">
        <v>15351</v>
      </c>
      <c r="K27">
        <v>14</v>
      </c>
      <c r="L27">
        <v>135</v>
      </c>
      <c r="M27">
        <v>2</v>
      </c>
      <c r="N27">
        <v>1</v>
      </c>
      <c r="O27">
        <v>3</v>
      </c>
      <c r="P27">
        <v>2</v>
      </c>
    </row>
    <row r="28" spans="1:16">
      <c r="A28">
        <f t="shared" si="0"/>
        <v>2</v>
      </c>
      <c r="B28" t="s">
        <v>162</v>
      </c>
      <c r="C28">
        <v>1</v>
      </c>
      <c r="D28" t="s">
        <v>7</v>
      </c>
      <c r="E28" t="s">
        <v>71</v>
      </c>
      <c r="F28" t="s">
        <v>78</v>
      </c>
      <c r="G28" t="str">
        <f t="shared" si="1"/>
        <v>Firm A_Alfa</v>
      </c>
      <c r="H28" t="str">
        <f t="shared" si="2"/>
        <v>Y1Q1_Firm A_Alfa</v>
      </c>
      <c r="I28" t="s">
        <v>39</v>
      </c>
      <c r="J28">
        <v>24084</v>
      </c>
      <c r="K28">
        <v>28</v>
      </c>
      <c r="L28">
        <v>165</v>
      </c>
      <c r="M28">
        <v>2</v>
      </c>
      <c r="N28">
        <v>1</v>
      </c>
      <c r="O28">
        <v>3</v>
      </c>
      <c r="P28">
        <v>2</v>
      </c>
    </row>
    <row r="29" spans="1:16">
      <c r="A29">
        <f t="shared" si="0"/>
        <v>2</v>
      </c>
      <c r="B29" t="s">
        <v>162</v>
      </c>
      <c r="C29">
        <v>1</v>
      </c>
      <c r="D29" t="s">
        <v>7</v>
      </c>
      <c r="E29" t="s">
        <v>71</v>
      </c>
      <c r="F29" t="s">
        <v>93</v>
      </c>
      <c r="G29" t="str">
        <f t="shared" si="1"/>
        <v>Firm A_Apex</v>
      </c>
      <c r="H29" t="str">
        <f t="shared" si="2"/>
        <v>Y1Q1_Firm A_Apex</v>
      </c>
      <c r="I29" t="s">
        <v>50</v>
      </c>
      <c r="J29">
        <v>31500</v>
      </c>
      <c r="K29">
        <v>48</v>
      </c>
      <c r="L29">
        <v>205</v>
      </c>
      <c r="M29">
        <v>3</v>
      </c>
      <c r="N29">
        <v>3</v>
      </c>
      <c r="O29">
        <v>2</v>
      </c>
      <c r="P29">
        <v>3</v>
      </c>
    </row>
    <row r="30" spans="1:16">
      <c r="A30">
        <f t="shared" si="0"/>
        <v>2</v>
      </c>
      <c r="B30" t="s">
        <v>162</v>
      </c>
      <c r="C30">
        <v>1</v>
      </c>
      <c r="D30" t="s">
        <v>7</v>
      </c>
      <c r="E30" t="s">
        <v>71</v>
      </c>
      <c r="F30" t="s">
        <v>86</v>
      </c>
      <c r="G30" t="str">
        <f t="shared" si="1"/>
        <v>Firm A_Atlas</v>
      </c>
      <c r="H30" t="str">
        <f t="shared" si="2"/>
        <v>Y1Q1_Firm A_Atlas</v>
      </c>
      <c r="I30" t="s">
        <v>43</v>
      </c>
      <c r="J30">
        <v>26800</v>
      </c>
      <c r="K30">
        <v>78</v>
      </c>
      <c r="L30">
        <v>195</v>
      </c>
      <c r="M30">
        <v>2</v>
      </c>
      <c r="N30">
        <v>2</v>
      </c>
      <c r="O30">
        <v>3</v>
      </c>
      <c r="P30">
        <v>2</v>
      </c>
    </row>
    <row r="31" spans="1:16">
      <c r="A31">
        <f t="shared" si="0"/>
        <v>2</v>
      </c>
      <c r="B31" t="s">
        <v>162</v>
      </c>
      <c r="C31">
        <v>1</v>
      </c>
      <c r="D31" t="s">
        <v>7</v>
      </c>
      <c r="E31" t="s">
        <v>71</v>
      </c>
      <c r="F31" t="s">
        <v>90</v>
      </c>
      <c r="G31" t="str">
        <f t="shared" si="1"/>
        <v>Firm A_Awesome</v>
      </c>
      <c r="H31" t="str">
        <f t="shared" si="2"/>
        <v>Y1Q1_Firm A_Awesome</v>
      </c>
      <c r="I31" t="s">
        <v>46</v>
      </c>
      <c r="J31">
        <v>21149</v>
      </c>
      <c r="K31">
        <v>40</v>
      </c>
      <c r="L31">
        <v>220</v>
      </c>
      <c r="M31">
        <v>1</v>
      </c>
      <c r="N31">
        <v>1</v>
      </c>
      <c r="O31">
        <v>1</v>
      </c>
      <c r="P31">
        <v>1</v>
      </c>
    </row>
    <row r="32" spans="1:16">
      <c r="A32">
        <f t="shared" si="0"/>
        <v>2</v>
      </c>
      <c r="B32" t="s">
        <v>162</v>
      </c>
      <c r="C32">
        <v>1</v>
      </c>
      <c r="D32" t="s">
        <v>7</v>
      </c>
      <c r="E32" t="s">
        <v>73</v>
      </c>
      <c r="F32" t="s">
        <v>94</v>
      </c>
      <c r="G32" t="str">
        <f t="shared" si="1"/>
        <v>Firm B_Beaut</v>
      </c>
      <c r="H32" t="str">
        <f t="shared" si="2"/>
        <v>Y1Q1_Firm B_Beaut</v>
      </c>
      <c r="I32" t="s">
        <v>54</v>
      </c>
      <c r="J32">
        <v>38385</v>
      </c>
      <c r="K32">
        <v>62</v>
      </c>
      <c r="L32">
        <v>240</v>
      </c>
      <c r="M32">
        <v>2</v>
      </c>
      <c r="N32">
        <v>4</v>
      </c>
      <c r="O32">
        <v>2</v>
      </c>
      <c r="P32">
        <v>2</v>
      </c>
    </row>
    <row r="33" spans="1:16">
      <c r="A33">
        <f t="shared" si="0"/>
        <v>2</v>
      </c>
      <c r="B33" t="s">
        <v>162</v>
      </c>
      <c r="C33">
        <v>1</v>
      </c>
      <c r="D33" t="s">
        <v>7</v>
      </c>
      <c r="E33" t="s">
        <v>73</v>
      </c>
      <c r="F33" t="s">
        <v>83</v>
      </c>
      <c r="G33" t="str">
        <f t="shared" si="1"/>
        <v>Firm B_Boffo</v>
      </c>
      <c r="H33" t="str">
        <f t="shared" si="2"/>
        <v>Y1Q1_Firm B_Boffo</v>
      </c>
      <c r="I33" t="s">
        <v>39</v>
      </c>
      <c r="J33">
        <v>35003</v>
      </c>
      <c r="K33">
        <v>49</v>
      </c>
      <c r="L33">
        <v>200</v>
      </c>
      <c r="M33">
        <v>4</v>
      </c>
      <c r="N33">
        <v>3</v>
      </c>
      <c r="O33">
        <v>2</v>
      </c>
      <c r="P33">
        <v>2</v>
      </c>
    </row>
    <row r="34" spans="1:16">
      <c r="A34">
        <f t="shared" si="0"/>
        <v>2</v>
      </c>
      <c r="B34" t="s">
        <v>162</v>
      </c>
      <c r="C34">
        <v>1</v>
      </c>
      <c r="D34" t="s">
        <v>7</v>
      </c>
      <c r="E34" t="s">
        <v>73</v>
      </c>
      <c r="F34" t="s">
        <v>74</v>
      </c>
      <c r="G34" t="str">
        <f t="shared" si="1"/>
        <v>Firm B_Breeze</v>
      </c>
      <c r="H34" t="str">
        <f t="shared" si="2"/>
        <v>Y1Q1_Firm B_Breeze</v>
      </c>
      <c r="I34" t="s">
        <v>33</v>
      </c>
      <c r="J34">
        <v>16900</v>
      </c>
      <c r="K34">
        <v>18</v>
      </c>
      <c r="L34">
        <v>130</v>
      </c>
      <c r="M34">
        <v>2</v>
      </c>
      <c r="N34">
        <v>2</v>
      </c>
      <c r="O34">
        <v>2</v>
      </c>
      <c r="P34">
        <v>2</v>
      </c>
    </row>
    <row r="35" spans="1:16">
      <c r="A35">
        <f t="shared" si="0"/>
        <v>2</v>
      </c>
      <c r="B35" t="s">
        <v>162</v>
      </c>
      <c r="C35">
        <v>1</v>
      </c>
      <c r="D35" t="s">
        <v>7</v>
      </c>
      <c r="E35" t="s">
        <v>73</v>
      </c>
      <c r="F35" t="s">
        <v>77</v>
      </c>
      <c r="G35" t="str">
        <f t="shared" si="1"/>
        <v>Firm B_Brute</v>
      </c>
      <c r="H35" t="str">
        <f t="shared" si="2"/>
        <v>Y1Q1_Firm B_Brute</v>
      </c>
      <c r="I35" t="s">
        <v>36</v>
      </c>
      <c r="J35">
        <v>24900</v>
      </c>
      <c r="K35">
        <v>72</v>
      </c>
      <c r="L35">
        <v>250</v>
      </c>
      <c r="M35">
        <v>2</v>
      </c>
      <c r="N35">
        <v>2</v>
      </c>
      <c r="O35">
        <v>2</v>
      </c>
      <c r="P35">
        <v>2</v>
      </c>
    </row>
    <row r="36" spans="1:16">
      <c r="A36">
        <f t="shared" si="0"/>
        <v>2</v>
      </c>
      <c r="B36" t="s">
        <v>162</v>
      </c>
      <c r="C36">
        <v>1</v>
      </c>
      <c r="D36" t="s">
        <v>7</v>
      </c>
      <c r="E36" t="s">
        <v>73</v>
      </c>
      <c r="F36" t="s">
        <v>92</v>
      </c>
      <c r="G36" t="str">
        <f t="shared" si="1"/>
        <v>Firm B_Buzzy</v>
      </c>
      <c r="H36" t="str">
        <f t="shared" si="2"/>
        <v>Y1Q1_Firm B_Buzzy</v>
      </c>
      <c r="I36" t="s">
        <v>50</v>
      </c>
      <c r="J36">
        <v>34652</v>
      </c>
      <c r="K36">
        <v>54</v>
      </c>
      <c r="L36">
        <v>190</v>
      </c>
      <c r="M36">
        <v>3</v>
      </c>
      <c r="N36">
        <v>3</v>
      </c>
      <c r="O36">
        <v>2</v>
      </c>
      <c r="P36">
        <v>3</v>
      </c>
    </row>
    <row r="37" spans="1:16">
      <c r="A37">
        <f t="shared" si="0"/>
        <v>2</v>
      </c>
      <c r="B37" t="s">
        <v>162</v>
      </c>
      <c r="C37">
        <v>1</v>
      </c>
      <c r="D37" t="s">
        <v>7</v>
      </c>
      <c r="E37" t="s">
        <v>79</v>
      </c>
      <c r="F37" t="s">
        <v>80</v>
      </c>
      <c r="G37" t="str">
        <f t="shared" si="1"/>
        <v>Firm C_Cafav</v>
      </c>
      <c r="H37" t="str">
        <f t="shared" si="2"/>
        <v>Y1Q1_Firm C_Cafav</v>
      </c>
      <c r="I37" t="s">
        <v>39</v>
      </c>
      <c r="J37">
        <v>31361</v>
      </c>
      <c r="K37">
        <v>49</v>
      </c>
      <c r="L37">
        <v>165</v>
      </c>
      <c r="M37">
        <v>4</v>
      </c>
      <c r="N37">
        <v>2</v>
      </c>
      <c r="O37">
        <v>2</v>
      </c>
      <c r="P37">
        <v>2</v>
      </c>
    </row>
    <row r="38" spans="1:16">
      <c r="A38">
        <f t="shared" si="0"/>
        <v>2</v>
      </c>
      <c r="B38" t="s">
        <v>162</v>
      </c>
      <c r="C38">
        <v>1</v>
      </c>
      <c r="D38" t="s">
        <v>7</v>
      </c>
      <c r="E38" t="s">
        <v>79</v>
      </c>
      <c r="F38" t="s">
        <v>84</v>
      </c>
      <c r="G38" t="str">
        <f t="shared" si="1"/>
        <v>Firm C_Camini</v>
      </c>
      <c r="H38" t="str">
        <f t="shared" si="2"/>
        <v>Y1Q1_Firm C_Camini</v>
      </c>
      <c r="I38" t="s">
        <v>43</v>
      </c>
      <c r="J38">
        <v>24144</v>
      </c>
      <c r="K38">
        <v>82</v>
      </c>
      <c r="L38">
        <v>200</v>
      </c>
      <c r="M38">
        <v>2</v>
      </c>
      <c r="N38">
        <v>1</v>
      </c>
      <c r="O38">
        <v>2</v>
      </c>
      <c r="P38">
        <v>1</v>
      </c>
    </row>
    <row r="39" spans="1:16">
      <c r="A39">
        <f t="shared" si="0"/>
        <v>2</v>
      </c>
      <c r="B39" t="s">
        <v>162</v>
      </c>
      <c r="C39">
        <v>1</v>
      </c>
      <c r="D39" t="s">
        <v>7</v>
      </c>
      <c r="E39" t="s">
        <v>79</v>
      </c>
      <c r="F39" t="s">
        <v>95</v>
      </c>
      <c r="G39" t="str">
        <f t="shared" si="1"/>
        <v>Firm C_Climax</v>
      </c>
      <c r="H39" t="str">
        <f t="shared" si="2"/>
        <v>Y1Q1_Firm C_Climax</v>
      </c>
      <c r="I39" t="s">
        <v>54</v>
      </c>
      <c r="J39">
        <v>45997</v>
      </c>
      <c r="K39">
        <v>74</v>
      </c>
      <c r="L39">
        <v>240</v>
      </c>
      <c r="M39">
        <v>4</v>
      </c>
      <c r="N39">
        <v>2</v>
      </c>
      <c r="O39">
        <v>2</v>
      </c>
      <c r="P39">
        <v>2</v>
      </c>
    </row>
    <row r="40" spans="1:16">
      <c r="A40">
        <f t="shared" si="0"/>
        <v>2</v>
      </c>
      <c r="B40" t="s">
        <v>162</v>
      </c>
      <c r="C40">
        <v>1</v>
      </c>
      <c r="D40" t="s">
        <v>7</v>
      </c>
      <c r="E40" t="s">
        <v>79</v>
      </c>
      <c r="F40" t="s">
        <v>91</v>
      </c>
      <c r="G40" t="str">
        <f t="shared" si="1"/>
        <v>Firm C_Corsa</v>
      </c>
      <c r="H40" t="str">
        <f t="shared" si="2"/>
        <v>Y1Q1_Firm C_Corsa</v>
      </c>
      <c r="I40" t="s">
        <v>50</v>
      </c>
      <c r="J40">
        <v>33900</v>
      </c>
      <c r="K40">
        <v>52</v>
      </c>
      <c r="L40">
        <v>215</v>
      </c>
      <c r="M40">
        <v>3</v>
      </c>
      <c r="N40">
        <v>4</v>
      </c>
      <c r="O40">
        <v>2</v>
      </c>
      <c r="P40">
        <v>3</v>
      </c>
    </row>
    <row r="41" spans="1:16">
      <c r="A41">
        <f t="shared" si="0"/>
        <v>2</v>
      </c>
      <c r="B41" t="s">
        <v>162</v>
      </c>
      <c r="C41">
        <v>1</v>
      </c>
      <c r="D41" t="s">
        <v>7</v>
      </c>
      <c r="E41" t="s">
        <v>79</v>
      </c>
      <c r="F41" t="s">
        <v>88</v>
      </c>
      <c r="G41" t="str">
        <f t="shared" si="1"/>
        <v>Firm C_Cruise</v>
      </c>
      <c r="H41" t="str">
        <f t="shared" si="2"/>
        <v>Y1Q1_Firm C_Cruise</v>
      </c>
      <c r="I41" t="s">
        <v>46</v>
      </c>
      <c r="J41">
        <v>27900</v>
      </c>
      <c r="K41">
        <v>58</v>
      </c>
      <c r="L41">
        <v>210</v>
      </c>
      <c r="M41">
        <v>3</v>
      </c>
      <c r="N41">
        <v>3</v>
      </c>
      <c r="O41">
        <v>3</v>
      </c>
      <c r="P41">
        <v>2</v>
      </c>
    </row>
    <row r="42" spans="1:16">
      <c r="A42">
        <f t="shared" si="0"/>
        <v>2</v>
      </c>
      <c r="B42" t="s">
        <v>162</v>
      </c>
      <c r="C42">
        <v>1</v>
      </c>
      <c r="D42" t="s">
        <v>7</v>
      </c>
      <c r="E42" t="s">
        <v>67</v>
      </c>
      <c r="F42" t="s">
        <v>81</v>
      </c>
      <c r="G42" t="str">
        <f t="shared" si="1"/>
        <v>Firm D_Defy</v>
      </c>
      <c r="H42" t="str">
        <f t="shared" si="2"/>
        <v>Y1Q1_Firm D_Defy</v>
      </c>
      <c r="I42" t="s">
        <v>39</v>
      </c>
      <c r="J42">
        <v>25922</v>
      </c>
      <c r="K42">
        <v>43</v>
      </c>
      <c r="L42">
        <v>165</v>
      </c>
      <c r="M42">
        <v>2</v>
      </c>
      <c r="N42">
        <v>1</v>
      </c>
      <c r="O42">
        <v>3</v>
      </c>
      <c r="P42">
        <v>2</v>
      </c>
    </row>
    <row r="43" spans="1:16">
      <c r="A43">
        <f t="shared" si="0"/>
        <v>2</v>
      </c>
      <c r="B43" t="s">
        <v>162</v>
      </c>
      <c r="C43">
        <v>1</v>
      </c>
      <c r="D43" t="s">
        <v>7</v>
      </c>
      <c r="E43" t="s">
        <v>67</v>
      </c>
      <c r="F43" t="s">
        <v>68</v>
      </c>
      <c r="G43" t="str">
        <f t="shared" si="1"/>
        <v>Firm D_Delite</v>
      </c>
      <c r="H43" t="str">
        <f t="shared" si="2"/>
        <v>Y1Q1_Firm D_Delite</v>
      </c>
      <c r="I43" t="s">
        <v>33</v>
      </c>
      <c r="J43">
        <v>11293</v>
      </c>
      <c r="K43">
        <v>5</v>
      </c>
      <c r="L43">
        <v>85</v>
      </c>
      <c r="M43">
        <v>1</v>
      </c>
      <c r="N43">
        <v>1</v>
      </c>
      <c r="O43">
        <v>1</v>
      </c>
      <c r="P43">
        <v>1</v>
      </c>
    </row>
    <row r="44" spans="1:16">
      <c r="A44">
        <f t="shared" si="0"/>
        <v>2</v>
      </c>
      <c r="B44" t="s">
        <v>162</v>
      </c>
      <c r="C44">
        <v>1</v>
      </c>
      <c r="D44" t="s">
        <v>7</v>
      </c>
      <c r="E44" t="s">
        <v>67</v>
      </c>
      <c r="F44" t="s">
        <v>76</v>
      </c>
      <c r="G44" t="str">
        <f t="shared" si="1"/>
        <v>Firm D_Detonka</v>
      </c>
      <c r="H44" t="str">
        <f t="shared" si="2"/>
        <v>Y1Q1_Firm D_Detonka</v>
      </c>
      <c r="I44" t="s">
        <v>36</v>
      </c>
      <c r="J44">
        <v>19572</v>
      </c>
      <c r="K44">
        <v>66</v>
      </c>
      <c r="L44">
        <v>185</v>
      </c>
      <c r="M44">
        <v>1</v>
      </c>
      <c r="N44">
        <v>1</v>
      </c>
      <c r="O44">
        <v>1</v>
      </c>
      <c r="P44">
        <v>1</v>
      </c>
    </row>
    <row r="45" spans="1:16">
      <c r="A45">
        <f t="shared" si="0"/>
        <v>2</v>
      </c>
      <c r="B45" t="s">
        <v>162</v>
      </c>
      <c r="C45">
        <v>1</v>
      </c>
      <c r="D45" t="s">
        <v>7</v>
      </c>
      <c r="E45" t="s">
        <v>67</v>
      </c>
      <c r="F45" t="s">
        <v>89</v>
      </c>
      <c r="G45" t="str">
        <f t="shared" si="1"/>
        <v>Firm D_Dventure</v>
      </c>
      <c r="H45" t="str">
        <f t="shared" si="2"/>
        <v>Y1Q1_Firm D_Dventure</v>
      </c>
      <c r="I45" t="s">
        <v>46</v>
      </c>
      <c r="J45">
        <v>28900</v>
      </c>
      <c r="K45">
        <v>61</v>
      </c>
      <c r="L45">
        <v>225</v>
      </c>
      <c r="M45">
        <v>2</v>
      </c>
      <c r="N45">
        <v>3</v>
      </c>
      <c r="O45">
        <v>3</v>
      </c>
      <c r="P45">
        <v>2</v>
      </c>
    </row>
    <row r="46" spans="1:16">
      <c r="A46">
        <f t="shared" si="0"/>
        <v>2</v>
      </c>
      <c r="B46" t="s">
        <v>162</v>
      </c>
      <c r="C46">
        <v>1</v>
      </c>
      <c r="D46" t="s">
        <v>7</v>
      </c>
      <c r="E46" t="s">
        <v>67</v>
      </c>
      <c r="F46" t="s">
        <v>96</v>
      </c>
      <c r="G46" t="str">
        <f t="shared" si="1"/>
        <v>Firm D_Dynamo</v>
      </c>
      <c r="H46" t="str">
        <f t="shared" si="2"/>
        <v>Y1Q1_Firm D_Dynamo</v>
      </c>
      <c r="I46" t="s">
        <v>54</v>
      </c>
      <c r="J46">
        <v>41900</v>
      </c>
      <c r="K46">
        <v>68</v>
      </c>
      <c r="L46">
        <v>245</v>
      </c>
      <c r="M46">
        <v>3</v>
      </c>
      <c r="N46">
        <v>3</v>
      </c>
      <c r="O46">
        <v>3</v>
      </c>
      <c r="P46">
        <v>3</v>
      </c>
    </row>
    <row r="47" spans="1:16">
      <c r="A47">
        <f t="shared" si="0"/>
        <v>2</v>
      </c>
      <c r="B47" t="s">
        <v>162</v>
      </c>
      <c r="C47">
        <v>1</v>
      </c>
      <c r="D47" t="s">
        <v>7</v>
      </c>
      <c r="E47" t="s">
        <v>69</v>
      </c>
      <c r="F47" t="s">
        <v>70</v>
      </c>
      <c r="G47" t="str">
        <f t="shared" si="1"/>
        <v>Firm E_Econo</v>
      </c>
      <c r="H47" t="str">
        <f t="shared" si="2"/>
        <v>Y1Q1_Firm E_Econo</v>
      </c>
      <c r="I47" t="s">
        <v>33</v>
      </c>
      <c r="J47">
        <v>14900</v>
      </c>
      <c r="K47">
        <v>16</v>
      </c>
      <c r="L47">
        <v>120</v>
      </c>
      <c r="M47">
        <v>2</v>
      </c>
      <c r="N47">
        <v>2</v>
      </c>
      <c r="O47">
        <v>2</v>
      </c>
      <c r="P47">
        <v>2</v>
      </c>
    </row>
    <row r="48" spans="1:16">
      <c r="A48">
        <f t="shared" si="0"/>
        <v>2</v>
      </c>
      <c r="B48" t="s">
        <v>162</v>
      </c>
      <c r="C48">
        <v>1</v>
      </c>
      <c r="D48" t="s">
        <v>7</v>
      </c>
      <c r="E48" t="s">
        <v>69</v>
      </c>
      <c r="F48" t="s">
        <v>82</v>
      </c>
      <c r="G48" t="str">
        <f t="shared" si="1"/>
        <v>Firm E_Efizz</v>
      </c>
      <c r="H48" t="str">
        <f t="shared" si="2"/>
        <v>Y1Q1_Firm E_Efizz</v>
      </c>
      <c r="I48" t="s">
        <v>39</v>
      </c>
      <c r="J48">
        <v>18869</v>
      </c>
      <c r="K48">
        <v>35</v>
      </c>
      <c r="L48">
        <v>140</v>
      </c>
      <c r="M48">
        <v>1</v>
      </c>
      <c r="N48">
        <v>1</v>
      </c>
      <c r="O48">
        <v>2</v>
      </c>
      <c r="P48">
        <v>1</v>
      </c>
    </row>
    <row r="49" spans="1:16">
      <c r="A49">
        <f t="shared" si="0"/>
        <v>2</v>
      </c>
      <c r="B49" t="s">
        <v>162</v>
      </c>
      <c r="C49">
        <v>1</v>
      </c>
      <c r="D49" t="s">
        <v>7</v>
      </c>
      <c r="E49" t="s">
        <v>69</v>
      </c>
      <c r="F49" t="s">
        <v>85</v>
      </c>
      <c r="G49" t="str">
        <f t="shared" si="1"/>
        <v>Firm E_Espace</v>
      </c>
      <c r="H49" t="str">
        <f t="shared" si="2"/>
        <v>Y1Q1_Firm E_Espace</v>
      </c>
      <c r="I49" t="s">
        <v>43</v>
      </c>
      <c r="J49">
        <v>25900</v>
      </c>
      <c r="K49">
        <v>80</v>
      </c>
      <c r="L49">
        <v>185</v>
      </c>
      <c r="M49">
        <v>2</v>
      </c>
      <c r="N49">
        <v>2</v>
      </c>
      <c r="O49">
        <v>3</v>
      </c>
      <c r="P49">
        <v>2</v>
      </c>
    </row>
    <row r="50" spans="1:16">
      <c r="A50">
        <f t="shared" si="0"/>
        <v>2</v>
      </c>
      <c r="B50" t="s">
        <v>162</v>
      </c>
      <c r="C50">
        <v>1</v>
      </c>
      <c r="D50" t="s">
        <v>7</v>
      </c>
      <c r="E50" t="s">
        <v>69</v>
      </c>
      <c r="F50" t="s">
        <v>75</v>
      </c>
      <c r="G50" t="str">
        <f t="shared" si="1"/>
        <v>Firm E_Estruck</v>
      </c>
      <c r="H50" t="str">
        <f t="shared" si="2"/>
        <v>Y1Q1_Firm E_Estruck</v>
      </c>
      <c r="I50" t="s">
        <v>36</v>
      </c>
      <c r="J50">
        <v>21843</v>
      </c>
      <c r="K50">
        <v>75</v>
      </c>
      <c r="L50">
        <v>280</v>
      </c>
      <c r="M50">
        <v>1</v>
      </c>
      <c r="N50">
        <v>1</v>
      </c>
      <c r="O50">
        <v>1</v>
      </c>
      <c r="P50">
        <v>2</v>
      </c>
    </row>
    <row r="51" spans="1:16">
      <c r="A51">
        <f t="shared" si="0"/>
        <v>2</v>
      </c>
      <c r="B51" t="s">
        <v>162</v>
      </c>
      <c r="C51">
        <v>1</v>
      </c>
      <c r="D51" t="s">
        <v>7</v>
      </c>
      <c r="E51" t="s">
        <v>69</v>
      </c>
      <c r="F51" t="s">
        <v>87</v>
      </c>
      <c r="G51" t="str">
        <f t="shared" si="1"/>
        <v>Firm E_Euro</v>
      </c>
      <c r="H51" t="str">
        <f t="shared" si="2"/>
        <v>Y1Q1_Firm E_Euro</v>
      </c>
      <c r="I51" t="s">
        <v>46</v>
      </c>
      <c r="J51">
        <v>26528</v>
      </c>
      <c r="K51">
        <v>59</v>
      </c>
      <c r="L51">
        <v>200</v>
      </c>
      <c r="M51">
        <v>1</v>
      </c>
      <c r="N51">
        <v>3</v>
      </c>
      <c r="O51">
        <v>1</v>
      </c>
      <c r="P51">
        <v>1</v>
      </c>
    </row>
    <row r="52" spans="1:16">
      <c r="A52">
        <f t="shared" si="0"/>
        <v>3</v>
      </c>
      <c r="B52" t="s">
        <v>163</v>
      </c>
      <c r="C52">
        <v>1</v>
      </c>
      <c r="D52" t="s">
        <v>8</v>
      </c>
      <c r="E52" t="s">
        <v>71</v>
      </c>
      <c r="F52" t="s">
        <v>72</v>
      </c>
      <c r="G52" t="str">
        <f t="shared" si="1"/>
        <v>Firm A_Alec</v>
      </c>
      <c r="H52" t="str">
        <f t="shared" si="2"/>
        <v>Y1Q2_Firm A_Alec</v>
      </c>
      <c r="I52" t="s">
        <v>33</v>
      </c>
      <c r="J52">
        <v>15351</v>
      </c>
      <c r="K52">
        <v>14</v>
      </c>
      <c r="L52">
        <v>135</v>
      </c>
      <c r="M52">
        <v>2</v>
      </c>
      <c r="N52">
        <v>1</v>
      </c>
      <c r="O52">
        <v>3</v>
      </c>
      <c r="P52">
        <v>2</v>
      </c>
    </row>
    <row r="53" spans="1:16">
      <c r="A53">
        <f t="shared" si="0"/>
        <v>3</v>
      </c>
      <c r="B53" t="s">
        <v>163</v>
      </c>
      <c r="C53">
        <v>1</v>
      </c>
      <c r="D53" t="s">
        <v>8</v>
      </c>
      <c r="E53" t="s">
        <v>71</v>
      </c>
      <c r="F53" t="s">
        <v>78</v>
      </c>
      <c r="G53" t="str">
        <f t="shared" si="1"/>
        <v>Firm A_Alfa</v>
      </c>
      <c r="H53" t="str">
        <f t="shared" si="2"/>
        <v>Y1Q2_Firm A_Alfa</v>
      </c>
      <c r="I53" t="s">
        <v>39</v>
      </c>
      <c r="J53">
        <v>24084</v>
      </c>
      <c r="K53">
        <v>28</v>
      </c>
      <c r="L53">
        <v>165</v>
      </c>
      <c r="M53">
        <v>2</v>
      </c>
      <c r="N53">
        <v>1</v>
      </c>
      <c r="O53">
        <v>3</v>
      </c>
      <c r="P53">
        <v>2</v>
      </c>
    </row>
    <row r="54" spans="1:16">
      <c r="A54">
        <f t="shared" si="0"/>
        <v>3</v>
      </c>
      <c r="B54" t="s">
        <v>163</v>
      </c>
      <c r="C54">
        <v>1</v>
      </c>
      <c r="D54" t="s">
        <v>8</v>
      </c>
      <c r="E54" t="s">
        <v>71</v>
      </c>
      <c r="F54" t="s">
        <v>93</v>
      </c>
      <c r="G54" t="str">
        <f t="shared" si="1"/>
        <v>Firm A_Apex</v>
      </c>
      <c r="H54" t="str">
        <f t="shared" si="2"/>
        <v>Y1Q2_Firm A_Apex</v>
      </c>
      <c r="I54" t="s">
        <v>50</v>
      </c>
      <c r="J54">
        <v>31500</v>
      </c>
      <c r="K54">
        <v>48</v>
      </c>
      <c r="L54">
        <v>205</v>
      </c>
      <c r="M54">
        <v>3</v>
      </c>
      <c r="N54">
        <v>3</v>
      </c>
      <c r="O54">
        <v>2</v>
      </c>
      <c r="P54">
        <v>3</v>
      </c>
    </row>
    <row r="55" spans="1:16">
      <c r="A55">
        <f t="shared" si="0"/>
        <v>3</v>
      </c>
      <c r="B55" t="s">
        <v>163</v>
      </c>
      <c r="C55">
        <v>1</v>
      </c>
      <c r="D55" t="s">
        <v>8</v>
      </c>
      <c r="E55" t="s">
        <v>71</v>
      </c>
      <c r="F55" t="s">
        <v>86</v>
      </c>
      <c r="G55" t="str">
        <f t="shared" si="1"/>
        <v>Firm A_Atlas</v>
      </c>
      <c r="H55" t="str">
        <f t="shared" si="2"/>
        <v>Y1Q2_Firm A_Atlas</v>
      </c>
      <c r="I55" t="s">
        <v>43</v>
      </c>
      <c r="J55">
        <v>26800</v>
      </c>
      <c r="K55">
        <v>78</v>
      </c>
      <c r="L55">
        <v>195</v>
      </c>
      <c r="M55">
        <v>2</v>
      </c>
      <c r="N55">
        <v>2</v>
      </c>
      <c r="O55">
        <v>3</v>
      </c>
      <c r="P55">
        <v>2</v>
      </c>
    </row>
    <row r="56" spans="1:16">
      <c r="A56">
        <f t="shared" si="0"/>
        <v>3</v>
      </c>
      <c r="B56" t="s">
        <v>163</v>
      </c>
      <c r="C56">
        <v>1</v>
      </c>
      <c r="D56" t="s">
        <v>8</v>
      </c>
      <c r="E56" t="s">
        <v>71</v>
      </c>
      <c r="F56" t="s">
        <v>90</v>
      </c>
      <c r="G56" t="str">
        <f t="shared" si="1"/>
        <v>Firm A_Awesome</v>
      </c>
      <c r="H56" t="str">
        <f t="shared" si="2"/>
        <v>Y1Q2_Firm A_Awesome</v>
      </c>
      <c r="I56" t="s">
        <v>46</v>
      </c>
      <c r="J56">
        <v>21149</v>
      </c>
      <c r="K56">
        <v>40</v>
      </c>
      <c r="L56">
        <v>220</v>
      </c>
      <c r="M56">
        <v>1</v>
      </c>
      <c r="N56">
        <v>1</v>
      </c>
      <c r="O56">
        <v>1</v>
      </c>
      <c r="P56">
        <v>1</v>
      </c>
    </row>
    <row r="57" spans="1:16">
      <c r="A57">
        <f t="shared" si="0"/>
        <v>3</v>
      </c>
      <c r="B57" t="s">
        <v>163</v>
      </c>
      <c r="C57">
        <v>1</v>
      </c>
      <c r="D57" t="s">
        <v>8</v>
      </c>
      <c r="E57" t="s">
        <v>73</v>
      </c>
      <c r="F57" t="s">
        <v>94</v>
      </c>
      <c r="G57" t="str">
        <f t="shared" si="1"/>
        <v>Firm B_Beaut</v>
      </c>
      <c r="H57" t="str">
        <f t="shared" si="2"/>
        <v>Y1Q2_Firm B_Beaut</v>
      </c>
      <c r="I57" t="s">
        <v>54</v>
      </c>
      <c r="J57">
        <v>38385</v>
      </c>
      <c r="K57">
        <v>62</v>
      </c>
      <c r="L57">
        <v>240</v>
      </c>
      <c r="M57">
        <v>2</v>
      </c>
      <c r="N57">
        <v>4</v>
      </c>
      <c r="O57">
        <v>2</v>
      </c>
      <c r="P57">
        <v>2</v>
      </c>
    </row>
    <row r="58" spans="1:16">
      <c r="A58">
        <f t="shared" si="0"/>
        <v>3</v>
      </c>
      <c r="B58" t="s">
        <v>163</v>
      </c>
      <c r="C58">
        <v>1</v>
      </c>
      <c r="D58" t="s">
        <v>8</v>
      </c>
      <c r="E58" t="s">
        <v>73</v>
      </c>
      <c r="F58" t="s">
        <v>83</v>
      </c>
      <c r="G58" t="str">
        <f t="shared" si="1"/>
        <v>Firm B_Boffo</v>
      </c>
      <c r="H58" t="str">
        <f t="shared" si="2"/>
        <v>Y1Q2_Firm B_Boffo</v>
      </c>
      <c r="I58" t="s">
        <v>39</v>
      </c>
      <c r="J58">
        <v>35003</v>
      </c>
      <c r="K58">
        <v>49</v>
      </c>
      <c r="L58">
        <v>200</v>
      </c>
      <c r="M58">
        <v>4</v>
      </c>
      <c r="N58">
        <v>3</v>
      </c>
      <c r="O58">
        <v>2</v>
      </c>
      <c r="P58">
        <v>2</v>
      </c>
    </row>
    <row r="59" spans="1:16">
      <c r="A59">
        <f t="shared" si="0"/>
        <v>3</v>
      </c>
      <c r="B59" t="s">
        <v>163</v>
      </c>
      <c r="C59">
        <v>1</v>
      </c>
      <c r="D59" t="s">
        <v>8</v>
      </c>
      <c r="E59" t="s">
        <v>73</v>
      </c>
      <c r="F59" t="s">
        <v>74</v>
      </c>
      <c r="G59" t="str">
        <f t="shared" si="1"/>
        <v>Firm B_Breeze</v>
      </c>
      <c r="H59" t="str">
        <f t="shared" si="2"/>
        <v>Y1Q2_Firm B_Breeze</v>
      </c>
      <c r="I59" t="s">
        <v>33</v>
      </c>
      <c r="J59">
        <v>16900</v>
      </c>
      <c r="K59">
        <v>18</v>
      </c>
      <c r="L59">
        <v>130</v>
      </c>
      <c r="M59">
        <v>2</v>
      </c>
      <c r="N59">
        <v>2</v>
      </c>
      <c r="O59">
        <v>2</v>
      </c>
      <c r="P59">
        <v>2</v>
      </c>
    </row>
    <row r="60" spans="1:16">
      <c r="A60">
        <f t="shared" si="0"/>
        <v>3</v>
      </c>
      <c r="B60" t="s">
        <v>163</v>
      </c>
      <c r="C60">
        <v>1</v>
      </c>
      <c r="D60" t="s">
        <v>8</v>
      </c>
      <c r="E60" t="s">
        <v>73</v>
      </c>
      <c r="F60" t="s">
        <v>77</v>
      </c>
      <c r="G60" t="str">
        <f t="shared" si="1"/>
        <v>Firm B_Brute</v>
      </c>
      <c r="H60" t="str">
        <f t="shared" si="2"/>
        <v>Y1Q2_Firm B_Brute</v>
      </c>
      <c r="I60" t="s">
        <v>36</v>
      </c>
      <c r="J60">
        <v>24900</v>
      </c>
      <c r="K60">
        <v>72</v>
      </c>
      <c r="L60">
        <v>250</v>
      </c>
      <c r="M60">
        <v>2</v>
      </c>
      <c r="N60">
        <v>2</v>
      </c>
      <c r="O60">
        <v>2</v>
      </c>
      <c r="P60">
        <v>2</v>
      </c>
    </row>
    <row r="61" spans="1:16">
      <c r="A61">
        <f t="shared" si="0"/>
        <v>3</v>
      </c>
      <c r="B61" t="s">
        <v>163</v>
      </c>
      <c r="C61">
        <v>1</v>
      </c>
      <c r="D61" t="s">
        <v>8</v>
      </c>
      <c r="E61" t="s">
        <v>73</v>
      </c>
      <c r="F61" t="s">
        <v>92</v>
      </c>
      <c r="G61" t="str">
        <f t="shared" si="1"/>
        <v>Firm B_Buzzy</v>
      </c>
      <c r="H61" t="str">
        <f t="shared" si="2"/>
        <v>Y1Q2_Firm B_Buzzy</v>
      </c>
      <c r="I61" t="s">
        <v>50</v>
      </c>
      <c r="J61">
        <v>34652</v>
      </c>
      <c r="K61">
        <v>54</v>
      </c>
      <c r="L61">
        <v>190</v>
      </c>
      <c r="M61">
        <v>3</v>
      </c>
      <c r="N61">
        <v>3</v>
      </c>
      <c r="O61">
        <v>2</v>
      </c>
      <c r="P61">
        <v>3</v>
      </c>
    </row>
    <row r="62" spans="1:16">
      <c r="A62">
        <f t="shared" si="0"/>
        <v>3</v>
      </c>
      <c r="B62" t="s">
        <v>163</v>
      </c>
      <c r="C62">
        <v>1</v>
      </c>
      <c r="D62" t="s">
        <v>8</v>
      </c>
      <c r="E62" t="s">
        <v>79</v>
      </c>
      <c r="F62" t="s">
        <v>80</v>
      </c>
      <c r="G62" t="str">
        <f t="shared" si="1"/>
        <v>Firm C_Cafav</v>
      </c>
      <c r="H62" t="str">
        <f t="shared" si="2"/>
        <v>Y1Q2_Firm C_Cafav</v>
      </c>
      <c r="I62" t="s">
        <v>39</v>
      </c>
      <c r="J62">
        <v>31361</v>
      </c>
      <c r="K62">
        <v>49</v>
      </c>
      <c r="L62">
        <v>165</v>
      </c>
      <c r="M62">
        <v>4</v>
      </c>
      <c r="N62">
        <v>2</v>
      </c>
      <c r="O62">
        <v>2</v>
      </c>
      <c r="P62">
        <v>2</v>
      </c>
    </row>
    <row r="63" spans="1:16">
      <c r="A63">
        <f t="shared" si="0"/>
        <v>3</v>
      </c>
      <c r="B63" t="s">
        <v>163</v>
      </c>
      <c r="C63">
        <v>1</v>
      </c>
      <c r="D63" t="s">
        <v>8</v>
      </c>
      <c r="E63" t="s">
        <v>79</v>
      </c>
      <c r="F63" t="s">
        <v>84</v>
      </c>
      <c r="G63" t="str">
        <f t="shared" si="1"/>
        <v>Firm C_Camini</v>
      </c>
      <c r="H63" t="str">
        <f t="shared" si="2"/>
        <v>Y1Q2_Firm C_Camini</v>
      </c>
      <c r="I63" t="s">
        <v>43</v>
      </c>
      <c r="J63">
        <v>24144</v>
      </c>
      <c r="K63">
        <v>82</v>
      </c>
      <c r="L63">
        <v>200</v>
      </c>
      <c r="M63">
        <v>2</v>
      </c>
      <c r="N63">
        <v>1</v>
      </c>
      <c r="O63">
        <v>2</v>
      </c>
      <c r="P63">
        <v>1</v>
      </c>
    </row>
    <row r="64" spans="1:16">
      <c r="A64">
        <f t="shared" si="0"/>
        <v>3</v>
      </c>
      <c r="B64" t="s">
        <v>163</v>
      </c>
      <c r="C64">
        <v>1</v>
      </c>
      <c r="D64" t="s">
        <v>8</v>
      </c>
      <c r="E64" t="s">
        <v>79</v>
      </c>
      <c r="F64" t="s">
        <v>95</v>
      </c>
      <c r="G64" t="str">
        <f t="shared" si="1"/>
        <v>Firm C_Climax</v>
      </c>
      <c r="H64" t="str">
        <f t="shared" si="2"/>
        <v>Y1Q2_Firm C_Climax</v>
      </c>
      <c r="I64" t="s">
        <v>54</v>
      </c>
      <c r="J64">
        <v>45997</v>
      </c>
      <c r="K64">
        <v>74</v>
      </c>
      <c r="L64">
        <v>240</v>
      </c>
      <c r="M64">
        <v>4</v>
      </c>
      <c r="N64">
        <v>2</v>
      </c>
      <c r="O64">
        <v>2</v>
      </c>
      <c r="P64">
        <v>2</v>
      </c>
    </row>
    <row r="65" spans="1:16">
      <c r="A65">
        <f t="shared" si="0"/>
        <v>3</v>
      </c>
      <c r="B65" t="s">
        <v>163</v>
      </c>
      <c r="C65">
        <v>1</v>
      </c>
      <c r="D65" t="s">
        <v>8</v>
      </c>
      <c r="E65" t="s">
        <v>79</v>
      </c>
      <c r="F65" t="s">
        <v>91</v>
      </c>
      <c r="G65" t="str">
        <f t="shared" si="1"/>
        <v>Firm C_Corsa</v>
      </c>
      <c r="H65" t="str">
        <f t="shared" si="2"/>
        <v>Y1Q2_Firm C_Corsa</v>
      </c>
      <c r="I65" t="s">
        <v>50</v>
      </c>
      <c r="J65">
        <v>33900</v>
      </c>
      <c r="K65">
        <v>52</v>
      </c>
      <c r="L65">
        <v>215</v>
      </c>
      <c r="M65">
        <v>3</v>
      </c>
      <c r="N65">
        <v>4</v>
      </c>
      <c r="O65">
        <v>2</v>
      </c>
      <c r="P65">
        <v>3</v>
      </c>
    </row>
    <row r="66" spans="1:16">
      <c r="A66">
        <f t="shared" si="0"/>
        <v>3</v>
      </c>
      <c r="B66" t="s">
        <v>163</v>
      </c>
      <c r="C66">
        <v>1</v>
      </c>
      <c r="D66" t="s">
        <v>8</v>
      </c>
      <c r="E66" t="s">
        <v>79</v>
      </c>
      <c r="F66" t="s">
        <v>88</v>
      </c>
      <c r="G66" t="str">
        <f t="shared" si="1"/>
        <v>Firm C_Cruise</v>
      </c>
      <c r="H66" t="str">
        <f t="shared" si="2"/>
        <v>Y1Q2_Firm C_Cruise</v>
      </c>
      <c r="I66" t="s">
        <v>46</v>
      </c>
      <c r="J66">
        <v>27900</v>
      </c>
      <c r="K66">
        <v>58</v>
      </c>
      <c r="L66">
        <v>210</v>
      </c>
      <c r="M66">
        <v>3</v>
      </c>
      <c r="N66">
        <v>3</v>
      </c>
      <c r="O66">
        <v>3</v>
      </c>
      <c r="P66">
        <v>2</v>
      </c>
    </row>
    <row r="67" spans="1:16">
      <c r="A67">
        <f t="shared" ref="A67:A130" si="3">(C67-1)*4+VALUE(RIGHT(D67,1))</f>
        <v>3</v>
      </c>
      <c r="B67" t="s">
        <v>163</v>
      </c>
      <c r="C67">
        <v>1</v>
      </c>
      <c r="D67" t="s">
        <v>8</v>
      </c>
      <c r="E67" t="s">
        <v>67</v>
      </c>
      <c r="F67" t="s">
        <v>81</v>
      </c>
      <c r="G67" t="str">
        <f t="shared" ref="G67:G130" si="4">E67&amp;"_"&amp;F67</f>
        <v>Firm D_Defy</v>
      </c>
      <c r="H67" t="str">
        <f t="shared" ref="H67:H130" si="5">B67&amp;"_"&amp;G67</f>
        <v>Y1Q2_Firm D_Defy</v>
      </c>
      <c r="I67" t="s">
        <v>39</v>
      </c>
      <c r="J67">
        <v>25922</v>
      </c>
      <c r="K67">
        <v>43</v>
      </c>
      <c r="L67">
        <v>165</v>
      </c>
      <c r="M67">
        <v>2</v>
      </c>
      <c r="N67">
        <v>1</v>
      </c>
      <c r="O67">
        <v>3</v>
      </c>
      <c r="P67">
        <v>2</v>
      </c>
    </row>
    <row r="68" spans="1:16">
      <c r="A68">
        <f t="shared" si="3"/>
        <v>3</v>
      </c>
      <c r="B68" t="s">
        <v>163</v>
      </c>
      <c r="C68">
        <v>1</v>
      </c>
      <c r="D68" t="s">
        <v>8</v>
      </c>
      <c r="E68" t="s">
        <v>67</v>
      </c>
      <c r="F68" t="s">
        <v>68</v>
      </c>
      <c r="G68" t="str">
        <f t="shared" si="4"/>
        <v>Firm D_Delite</v>
      </c>
      <c r="H68" t="str">
        <f t="shared" si="5"/>
        <v>Y1Q2_Firm D_Delite</v>
      </c>
      <c r="I68" t="s">
        <v>33</v>
      </c>
      <c r="J68">
        <v>11293</v>
      </c>
      <c r="K68">
        <v>5</v>
      </c>
      <c r="L68">
        <v>85</v>
      </c>
      <c r="M68">
        <v>1</v>
      </c>
      <c r="N68">
        <v>1</v>
      </c>
      <c r="O68">
        <v>1</v>
      </c>
      <c r="P68">
        <v>1</v>
      </c>
    </row>
    <row r="69" spans="1:16">
      <c r="A69">
        <f t="shared" si="3"/>
        <v>3</v>
      </c>
      <c r="B69" t="s">
        <v>163</v>
      </c>
      <c r="C69">
        <v>1</v>
      </c>
      <c r="D69" t="s">
        <v>8</v>
      </c>
      <c r="E69" t="s">
        <v>67</v>
      </c>
      <c r="F69" t="s">
        <v>76</v>
      </c>
      <c r="G69" t="str">
        <f t="shared" si="4"/>
        <v>Firm D_Detonka</v>
      </c>
      <c r="H69" t="str">
        <f t="shared" si="5"/>
        <v>Y1Q2_Firm D_Detonka</v>
      </c>
      <c r="I69" t="s">
        <v>36</v>
      </c>
      <c r="J69">
        <v>19572</v>
      </c>
      <c r="K69">
        <v>66</v>
      </c>
      <c r="L69">
        <v>185</v>
      </c>
      <c r="M69">
        <v>1</v>
      </c>
      <c r="N69">
        <v>1</v>
      </c>
      <c r="O69">
        <v>1</v>
      </c>
      <c r="P69">
        <v>1</v>
      </c>
    </row>
    <row r="70" spans="1:16">
      <c r="A70">
        <f t="shared" si="3"/>
        <v>3</v>
      </c>
      <c r="B70" t="s">
        <v>163</v>
      </c>
      <c r="C70">
        <v>1</v>
      </c>
      <c r="D70" t="s">
        <v>8</v>
      </c>
      <c r="E70" t="s">
        <v>67</v>
      </c>
      <c r="F70" t="s">
        <v>89</v>
      </c>
      <c r="G70" t="str">
        <f t="shared" si="4"/>
        <v>Firm D_Dventure</v>
      </c>
      <c r="H70" t="str">
        <f t="shared" si="5"/>
        <v>Y1Q2_Firm D_Dventure</v>
      </c>
      <c r="I70" t="s">
        <v>46</v>
      </c>
      <c r="J70">
        <v>28900</v>
      </c>
      <c r="K70">
        <v>61</v>
      </c>
      <c r="L70">
        <v>225</v>
      </c>
      <c r="M70">
        <v>2</v>
      </c>
      <c r="N70">
        <v>3</v>
      </c>
      <c r="O70">
        <v>3</v>
      </c>
      <c r="P70">
        <v>2</v>
      </c>
    </row>
    <row r="71" spans="1:16">
      <c r="A71">
        <f t="shared" si="3"/>
        <v>3</v>
      </c>
      <c r="B71" t="s">
        <v>163</v>
      </c>
      <c r="C71">
        <v>1</v>
      </c>
      <c r="D71" t="s">
        <v>8</v>
      </c>
      <c r="E71" t="s">
        <v>67</v>
      </c>
      <c r="F71" t="s">
        <v>96</v>
      </c>
      <c r="G71" t="str">
        <f t="shared" si="4"/>
        <v>Firm D_Dynamo</v>
      </c>
      <c r="H71" t="str">
        <f t="shared" si="5"/>
        <v>Y1Q2_Firm D_Dynamo</v>
      </c>
      <c r="I71" t="s">
        <v>54</v>
      </c>
      <c r="J71">
        <v>41900</v>
      </c>
      <c r="K71">
        <v>68</v>
      </c>
      <c r="L71">
        <v>245</v>
      </c>
      <c r="M71">
        <v>3</v>
      </c>
      <c r="N71">
        <v>3</v>
      </c>
      <c r="O71">
        <v>3</v>
      </c>
      <c r="P71">
        <v>3</v>
      </c>
    </row>
    <row r="72" spans="1:16">
      <c r="A72">
        <f t="shared" si="3"/>
        <v>3</v>
      </c>
      <c r="B72" t="s">
        <v>163</v>
      </c>
      <c r="C72">
        <v>1</v>
      </c>
      <c r="D72" t="s">
        <v>8</v>
      </c>
      <c r="E72" t="s">
        <v>69</v>
      </c>
      <c r="F72" t="s">
        <v>70</v>
      </c>
      <c r="G72" t="str">
        <f t="shared" si="4"/>
        <v>Firm E_Econo</v>
      </c>
      <c r="H72" t="str">
        <f t="shared" si="5"/>
        <v>Y1Q2_Firm E_Econo</v>
      </c>
      <c r="I72" t="s">
        <v>33</v>
      </c>
      <c r="J72">
        <v>14900</v>
      </c>
      <c r="K72">
        <v>16</v>
      </c>
      <c r="L72">
        <v>120</v>
      </c>
      <c r="M72">
        <v>2</v>
      </c>
      <c r="N72">
        <v>2</v>
      </c>
      <c r="O72">
        <v>2</v>
      </c>
      <c r="P72">
        <v>2</v>
      </c>
    </row>
    <row r="73" spans="1:16">
      <c r="A73">
        <f t="shared" si="3"/>
        <v>3</v>
      </c>
      <c r="B73" t="s">
        <v>163</v>
      </c>
      <c r="C73">
        <v>1</v>
      </c>
      <c r="D73" t="s">
        <v>8</v>
      </c>
      <c r="E73" t="s">
        <v>69</v>
      </c>
      <c r="F73" t="s">
        <v>82</v>
      </c>
      <c r="G73" t="str">
        <f t="shared" si="4"/>
        <v>Firm E_Efizz</v>
      </c>
      <c r="H73" t="str">
        <f t="shared" si="5"/>
        <v>Y1Q2_Firm E_Efizz</v>
      </c>
      <c r="I73" t="s">
        <v>39</v>
      </c>
      <c r="J73">
        <v>18869</v>
      </c>
      <c r="K73">
        <v>35</v>
      </c>
      <c r="L73">
        <v>140</v>
      </c>
      <c r="M73">
        <v>1</v>
      </c>
      <c r="N73">
        <v>1</v>
      </c>
      <c r="O73">
        <v>2</v>
      </c>
      <c r="P73">
        <v>1</v>
      </c>
    </row>
    <row r="74" spans="1:16">
      <c r="A74">
        <f t="shared" si="3"/>
        <v>3</v>
      </c>
      <c r="B74" t="s">
        <v>163</v>
      </c>
      <c r="C74">
        <v>1</v>
      </c>
      <c r="D74" t="s">
        <v>8</v>
      </c>
      <c r="E74" t="s">
        <v>69</v>
      </c>
      <c r="F74" t="s">
        <v>85</v>
      </c>
      <c r="G74" t="str">
        <f t="shared" si="4"/>
        <v>Firm E_Espace</v>
      </c>
      <c r="H74" t="str">
        <f t="shared" si="5"/>
        <v>Y1Q2_Firm E_Espace</v>
      </c>
      <c r="I74" t="s">
        <v>43</v>
      </c>
      <c r="J74">
        <v>25900</v>
      </c>
      <c r="K74">
        <v>80</v>
      </c>
      <c r="L74">
        <v>185</v>
      </c>
      <c r="M74">
        <v>2</v>
      </c>
      <c r="N74">
        <v>2</v>
      </c>
      <c r="O74">
        <v>3</v>
      </c>
      <c r="P74">
        <v>2</v>
      </c>
    </row>
    <row r="75" spans="1:16">
      <c r="A75">
        <f t="shared" si="3"/>
        <v>3</v>
      </c>
      <c r="B75" t="s">
        <v>163</v>
      </c>
      <c r="C75">
        <v>1</v>
      </c>
      <c r="D75" t="s">
        <v>8</v>
      </c>
      <c r="E75" t="s">
        <v>69</v>
      </c>
      <c r="F75" t="s">
        <v>75</v>
      </c>
      <c r="G75" t="str">
        <f t="shared" si="4"/>
        <v>Firm E_Estruck</v>
      </c>
      <c r="H75" t="str">
        <f t="shared" si="5"/>
        <v>Y1Q2_Firm E_Estruck</v>
      </c>
      <c r="I75" t="s">
        <v>36</v>
      </c>
      <c r="J75">
        <v>21843</v>
      </c>
      <c r="K75">
        <v>75</v>
      </c>
      <c r="L75">
        <v>280</v>
      </c>
      <c r="M75">
        <v>1</v>
      </c>
      <c r="N75">
        <v>1</v>
      </c>
      <c r="O75">
        <v>1</v>
      </c>
      <c r="P75">
        <v>2</v>
      </c>
    </row>
    <row r="76" spans="1:16">
      <c r="A76">
        <f t="shared" si="3"/>
        <v>3</v>
      </c>
      <c r="B76" t="s">
        <v>163</v>
      </c>
      <c r="C76">
        <v>1</v>
      </c>
      <c r="D76" t="s">
        <v>8</v>
      </c>
      <c r="E76" t="s">
        <v>69</v>
      </c>
      <c r="F76" t="s">
        <v>87</v>
      </c>
      <c r="G76" t="str">
        <f t="shared" si="4"/>
        <v>Firm E_Euro</v>
      </c>
      <c r="H76" t="str">
        <f t="shared" si="5"/>
        <v>Y1Q2_Firm E_Euro</v>
      </c>
      <c r="I76" t="s">
        <v>46</v>
      </c>
      <c r="J76">
        <v>26528</v>
      </c>
      <c r="K76">
        <v>59</v>
      </c>
      <c r="L76">
        <v>200</v>
      </c>
      <c r="M76">
        <v>1</v>
      </c>
      <c r="N76">
        <v>3</v>
      </c>
      <c r="O76">
        <v>1</v>
      </c>
      <c r="P76">
        <v>1</v>
      </c>
    </row>
    <row r="77" spans="1:16">
      <c r="A77">
        <f t="shared" si="3"/>
        <v>4</v>
      </c>
      <c r="B77" t="s">
        <v>163</v>
      </c>
      <c r="C77">
        <v>1</v>
      </c>
      <c r="D77" t="s">
        <v>9</v>
      </c>
      <c r="E77" t="s">
        <v>71</v>
      </c>
      <c r="F77" t="s">
        <v>72</v>
      </c>
      <c r="G77" t="str">
        <f t="shared" si="4"/>
        <v>Firm A_Alec</v>
      </c>
      <c r="H77" t="str">
        <f t="shared" si="5"/>
        <v>Y1Q2_Firm A_Alec</v>
      </c>
      <c r="I77" t="s">
        <v>33</v>
      </c>
      <c r="J77">
        <v>15351</v>
      </c>
      <c r="K77">
        <v>14</v>
      </c>
      <c r="L77">
        <v>135</v>
      </c>
      <c r="M77">
        <v>2</v>
      </c>
      <c r="N77">
        <v>1</v>
      </c>
      <c r="O77">
        <v>3</v>
      </c>
      <c r="P77">
        <v>2</v>
      </c>
    </row>
    <row r="78" spans="1:16">
      <c r="A78">
        <f t="shared" si="3"/>
        <v>4</v>
      </c>
      <c r="B78" t="s">
        <v>163</v>
      </c>
      <c r="C78">
        <v>1</v>
      </c>
      <c r="D78" t="s">
        <v>9</v>
      </c>
      <c r="E78" t="s">
        <v>71</v>
      </c>
      <c r="F78" t="s">
        <v>78</v>
      </c>
      <c r="G78" t="str">
        <f t="shared" si="4"/>
        <v>Firm A_Alfa</v>
      </c>
      <c r="H78" t="str">
        <f t="shared" si="5"/>
        <v>Y1Q2_Firm A_Alfa</v>
      </c>
      <c r="I78" t="s">
        <v>39</v>
      </c>
      <c r="J78">
        <v>24084</v>
      </c>
      <c r="K78">
        <v>28</v>
      </c>
      <c r="L78">
        <v>165</v>
      </c>
      <c r="M78">
        <v>2</v>
      </c>
      <c r="N78">
        <v>1</v>
      </c>
      <c r="O78">
        <v>3</v>
      </c>
      <c r="P78">
        <v>2</v>
      </c>
    </row>
    <row r="79" spans="1:16">
      <c r="A79">
        <f t="shared" si="3"/>
        <v>4</v>
      </c>
      <c r="B79" t="s">
        <v>163</v>
      </c>
      <c r="C79">
        <v>1</v>
      </c>
      <c r="D79" t="s">
        <v>9</v>
      </c>
      <c r="E79" t="s">
        <v>71</v>
      </c>
      <c r="F79" t="s">
        <v>93</v>
      </c>
      <c r="G79" t="str">
        <f t="shared" si="4"/>
        <v>Firm A_Apex</v>
      </c>
      <c r="H79" t="str">
        <f t="shared" si="5"/>
        <v>Y1Q2_Firm A_Apex</v>
      </c>
      <c r="I79" t="s">
        <v>50</v>
      </c>
      <c r="J79">
        <v>31500</v>
      </c>
      <c r="K79">
        <v>48</v>
      </c>
      <c r="L79">
        <v>205</v>
      </c>
      <c r="M79">
        <v>3</v>
      </c>
      <c r="N79">
        <v>3</v>
      </c>
      <c r="O79">
        <v>2</v>
      </c>
      <c r="P79">
        <v>3</v>
      </c>
    </row>
    <row r="80" spans="1:16">
      <c r="A80">
        <f t="shared" si="3"/>
        <v>4</v>
      </c>
      <c r="B80" t="s">
        <v>163</v>
      </c>
      <c r="C80">
        <v>1</v>
      </c>
      <c r="D80" t="s">
        <v>9</v>
      </c>
      <c r="E80" t="s">
        <v>71</v>
      </c>
      <c r="F80" t="s">
        <v>86</v>
      </c>
      <c r="G80" t="str">
        <f t="shared" si="4"/>
        <v>Firm A_Atlas</v>
      </c>
      <c r="H80" t="str">
        <f t="shared" si="5"/>
        <v>Y1Q2_Firm A_Atlas</v>
      </c>
      <c r="I80" t="s">
        <v>43</v>
      </c>
      <c r="J80">
        <v>26800</v>
      </c>
      <c r="K80">
        <v>78</v>
      </c>
      <c r="L80">
        <v>195</v>
      </c>
      <c r="M80">
        <v>2</v>
      </c>
      <c r="N80">
        <v>2</v>
      </c>
      <c r="O80">
        <v>3</v>
      </c>
      <c r="P80">
        <v>2</v>
      </c>
    </row>
    <row r="81" spans="1:16">
      <c r="A81">
        <f t="shared" si="3"/>
        <v>4</v>
      </c>
      <c r="B81" t="s">
        <v>163</v>
      </c>
      <c r="C81">
        <v>1</v>
      </c>
      <c r="D81" t="s">
        <v>9</v>
      </c>
      <c r="E81" t="s">
        <v>71</v>
      </c>
      <c r="F81" t="s">
        <v>90</v>
      </c>
      <c r="G81" t="str">
        <f t="shared" si="4"/>
        <v>Firm A_Awesome</v>
      </c>
      <c r="H81" t="str">
        <f t="shared" si="5"/>
        <v>Y1Q2_Firm A_Awesome</v>
      </c>
      <c r="I81" t="s">
        <v>46</v>
      </c>
      <c r="J81">
        <v>21149</v>
      </c>
      <c r="K81">
        <v>40</v>
      </c>
      <c r="L81">
        <v>220</v>
      </c>
      <c r="M81">
        <v>1</v>
      </c>
      <c r="N81">
        <v>1</v>
      </c>
      <c r="O81">
        <v>1</v>
      </c>
      <c r="P81">
        <v>1</v>
      </c>
    </row>
    <row r="82" spans="1:16">
      <c r="A82">
        <f t="shared" si="3"/>
        <v>4</v>
      </c>
      <c r="B82" t="s">
        <v>163</v>
      </c>
      <c r="C82">
        <v>1</v>
      </c>
      <c r="D82" t="s">
        <v>9</v>
      </c>
      <c r="E82" t="s">
        <v>73</v>
      </c>
      <c r="F82" t="s">
        <v>94</v>
      </c>
      <c r="G82" t="str">
        <f t="shared" si="4"/>
        <v>Firm B_Beaut</v>
      </c>
      <c r="H82" t="str">
        <f t="shared" si="5"/>
        <v>Y1Q2_Firm B_Beaut</v>
      </c>
      <c r="I82" t="s">
        <v>54</v>
      </c>
      <c r="J82">
        <v>38385</v>
      </c>
      <c r="K82">
        <v>62</v>
      </c>
      <c r="L82">
        <v>240</v>
      </c>
      <c r="M82">
        <v>2</v>
      </c>
      <c r="N82">
        <v>4</v>
      </c>
      <c r="O82">
        <v>2</v>
      </c>
      <c r="P82">
        <v>2</v>
      </c>
    </row>
    <row r="83" spans="1:16">
      <c r="A83">
        <f t="shared" si="3"/>
        <v>4</v>
      </c>
      <c r="B83" t="s">
        <v>163</v>
      </c>
      <c r="C83">
        <v>1</v>
      </c>
      <c r="D83" t="s">
        <v>9</v>
      </c>
      <c r="E83" t="s">
        <v>73</v>
      </c>
      <c r="F83" t="s">
        <v>83</v>
      </c>
      <c r="G83" t="str">
        <f t="shared" si="4"/>
        <v>Firm B_Boffo</v>
      </c>
      <c r="H83" t="str">
        <f t="shared" si="5"/>
        <v>Y1Q2_Firm B_Boffo</v>
      </c>
      <c r="I83" t="s">
        <v>39</v>
      </c>
      <c r="J83">
        <v>35003</v>
      </c>
      <c r="K83">
        <v>49</v>
      </c>
      <c r="L83">
        <v>200</v>
      </c>
      <c r="M83">
        <v>4</v>
      </c>
      <c r="N83">
        <v>3</v>
      </c>
      <c r="O83">
        <v>2</v>
      </c>
      <c r="P83">
        <v>2</v>
      </c>
    </row>
    <row r="84" spans="1:16">
      <c r="A84">
        <f t="shared" si="3"/>
        <v>4</v>
      </c>
      <c r="B84" t="s">
        <v>163</v>
      </c>
      <c r="C84">
        <v>1</v>
      </c>
      <c r="D84" t="s">
        <v>9</v>
      </c>
      <c r="E84" t="s">
        <v>73</v>
      </c>
      <c r="F84" t="s">
        <v>74</v>
      </c>
      <c r="G84" t="str">
        <f t="shared" si="4"/>
        <v>Firm B_Breeze</v>
      </c>
      <c r="H84" t="str">
        <f t="shared" si="5"/>
        <v>Y1Q2_Firm B_Breeze</v>
      </c>
      <c r="I84" t="s">
        <v>33</v>
      </c>
      <c r="J84">
        <v>16900</v>
      </c>
      <c r="K84">
        <v>18</v>
      </c>
      <c r="L84">
        <v>130</v>
      </c>
      <c r="M84">
        <v>2</v>
      </c>
      <c r="N84">
        <v>2</v>
      </c>
      <c r="O84">
        <v>2</v>
      </c>
      <c r="P84">
        <v>2</v>
      </c>
    </row>
    <row r="85" spans="1:16">
      <c r="A85">
        <f t="shared" si="3"/>
        <v>4</v>
      </c>
      <c r="B85" t="s">
        <v>163</v>
      </c>
      <c r="C85">
        <v>1</v>
      </c>
      <c r="D85" t="s">
        <v>9</v>
      </c>
      <c r="E85" t="s">
        <v>73</v>
      </c>
      <c r="F85" t="s">
        <v>77</v>
      </c>
      <c r="G85" t="str">
        <f t="shared" si="4"/>
        <v>Firm B_Brute</v>
      </c>
      <c r="H85" t="str">
        <f t="shared" si="5"/>
        <v>Y1Q2_Firm B_Brute</v>
      </c>
      <c r="I85" t="s">
        <v>36</v>
      </c>
      <c r="J85">
        <v>24900</v>
      </c>
      <c r="K85">
        <v>72</v>
      </c>
      <c r="L85">
        <v>250</v>
      </c>
      <c r="M85">
        <v>2</v>
      </c>
      <c r="N85">
        <v>2</v>
      </c>
      <c r="O85">
        <v>2</v>
      </c>
      <c r="P85">
        <v>2</v>
      </c>
    </row>
    <row r="86" spans="1:16">
      <c r="A86">
        <f t="shared" si="3"/>
        <v>4</v>
      </c>
      <c r="B86" t="s">
        <v>163</v>
      </c>
      <c r="C86">
        <v>1</v>
      </c>
      <c r="D86" t="s">
        <v>9</v>
      </c>
      <c r="E86" t="s">
        <v>73</v>
      </c>
      <c r="F86" t="s">
        <v>92</v>
      </c>
      <c r="G86" t="str">
        <f t="shared" si="4"/>
        <v>Firm B_Buzzy</v>
      </c>
      <c r="H86" t="str">
        <f t="shared" si="5"/>
        <v>Y1Q2_Firm B_Buzzy</v>
      </c>
      <c r="I86" t="s">
        <v>50</v>
      </c>
      <c r="J86">
        <v>34652</v>
      </c>
      <c r="K86">
        <v>54</v>
      </c>
      <c r="L86">
        <v>190</v>
      </c>
      <c r="M86">
        <v>3</v>
      </c>
      <c r="N86">
        <v>3</v>
      </c>
      <c r="O86">
        <v>2</v>
      </c>
      <c r="P86">
        <v>3</v>
      </c>
    </row>
    <row r="87" spans="1:16">
      <c r="A87">
        <f t="shared" si="3"/>
        <v>4</v>
      </c>
      <c r="B87" t="s">
        <v>163</v>
      </c>
      <c r="C87">
        <v>1</v>
      </c>
      <c r="D87" t="s">
        <v>9</v>
      </c>
      <c r="E87" t="s">
        <v>79</v>
      </c>
      <c r="F87" t="s">
        <v>80</v>
      </c>
      <c r="G87" t="str">
        <f t="shared" si="4"/>
        <v>Firm C_Cafav</v>
      </c>
      <c r="H87" t="str">
        <f t="shared" si="5"/>
        <v>Y1Q2_Firm C_Cafav</v>
      </c>
      <c r="I87" t="s">
        <v>39</v>
      </c>
      <c r="J87">
        <v>31361</v>
      </c>
      <c r="K87">
        <v>49</v>
      </c>
      <c r="L87">
        <v>165</v>
      </c>
      <c r="M87">
        <v>4</v>
      </c>
      <c r="N87">
        <v>2</v>
      </c>
      <c r="O87">
        <v>2</v>
      </c>
      <c r="P87">
        <v>2</v>
      </c>
    </row>
    <row r="88" spans="1:16">
      <c r="A88">
        <f t="shared" si="3"/>
        <v>4</v>
      </c>
      <c r="B88" t="s">
        <v>163</v>
      </c>
      <c r="C88">
        <v>1</v>
      </c>
      <c r="D88" t="s">
        <v>9</v>
      </c>
      <c r="E88" t="s">
        <v>79</v>
      </c>
      <c r="F88" t="s">
        <v>84</v>
      </c>
      <c r="G88" t="str">
        <f t="shared" si="4"/>
        <v>Firm C_Camini</v>
      </c>
      <c r="H88" t="str">
        <f t="shared" si="5"/>
        <v>Y1Q2_Firm C_Camini</v>
      </c>
      <c r="I88" t="s">
        <v>43</v>
      </c>
      <c r="J88">
        <v>24144</v>
      </c>
      <c r="K88">
        <v>82</v>
      </c>
      <c r="L88">
        <v>200</v>
      </c>
      <c r="M88">
        <v>2</v>
      </c>
      <c r="N88">
        <v>1</v>
      </c>
      <c r="O88">
        <v>2</v>
      </c>
      <c r="P88">
        <v>1</v>
      </c>
    </row>
    <row r="89" spans="1:16">
      <c r="A89">
        <f t="shared" si="3"/>
        <v>4</v>
      </c>
      <c r="B89" t="s">
        <v>163</v>
      </c>
      <c r="C89">
        <v>1</v>
      </c>
      <c r="D89" t="s">
        <v>9</v>
      </c>
      <c r="E89" t="s">
        <v>79</v>
      </c>
      <c r="F89" t="s">
        <v>95</v>
      </c>
      <c r="G89" t="str">
        <f t="shared" si="4"/>
        <v>Firm C_Climax</v>
      </c>
      <c r="H89" t="str">
        <f t="shared" si="5"/>
        <v>Y1Q2_Firm C_Climax</v>
      </c>
      <c r="I89" t="s">
        <v>54</v>
      </c>
      <c r="J89">
        <v>45997</v>
      </c>
      <c r="K89">
        <v>74</v>
      </c>
      <c r="L89">
        <v>240</v>
      </c>
      <c r="M89">
        <v>4</v>
      </c>
      <c r="N89">
        <v>2</v>
      </c>
      <c r="O89">
        <v>2</v>
      </c>
      <c r="P89">
        <v>2</v>
      </c>
    </row>
    <row r="90" spans="1:16">
      <c r="A90">
        <f t="shared" si="3"/>
        <v>4</v>
      </c>
      <c r="B90" t="s">
        <v>163</v>
      </c>
      <c r="C90">
        <v>1</v>
      </c>
      <c r="D90" t="s">
        <v>9</v>
      </c>
      <c r="E90" t="s">
        <v>79</v>
      </c>
      <c r="F90" t="s">
        <v>91</v>
      </c>
      <c r="G90" t="str">
        <f t="shared" si="4"/>
        <v>Firm C_Corsa</v>
      </c>
      <c r="H90" t="str">
        <f t="shared" si="5"/>
        <v>Y1Q2_Firm C_Corsa</v>
      </c>
      <c r="I90" t="s">
        <v>50</v>
      </c>
      <c r="J90">
        <v>33900</v>
      </c>
      <c r="K90">
        <v>52</v>
      </c>
      <c r="L90">
        <v>215</v>
      </c>
      <c r="M90">
        <v>3</v>
      </c>
      <c r="N90">
        <v>4</v>
      </c>
      <c r="O90">
        <v>2</v>
      </c>
      <c r="P90">
        <v>3</v>
      </c>
    </row>
    <row r="91" spans="1:16">
      <c r="A91">
        <f t="shared" si="3"/>
        <v>4</v>
      </c>
      <c r="B91" t="s">
        <v>163</v>
      </c>
      <c r="C91">
        <v>1</v>
      </c>
      <c r="D91" t="s">
        <v>9</v>
      </c>
      <c r="E91" t="s">
        <v>79</v>
      </c>
      <c r="F91" t="s">
        <v>88</v>
      </c>
      <c r="G91" t="str">
        <f t="shared" si="4"/>
        <v>Firm C_Cruise</v>
      </c>
      <c r="H91" t="str">
        <f t="shared" si="5"/>
        <v>Y1Q2_Firm C_Cruise</v>
      </c>
      <c r="I91" t="s">
        <v>46</v>
      </c>
      <c r="J91">
        <v>27900</v>
      </c>
      <c r="K91">
        <v>58</v>
      </c>
      <c r="L91">
        <v>210</v>
      </c>
      <c r="M91">
        <v>3</v>
      </c>
      <c r="N91">
        <v>3</v>
      </c>
      <c r="O91">
        <v>3</v>
      </c>
      <c r="P91">
        <v>2</v>
      </c>
    </row>
    <row r="92" spans="1:16">
      <c r="A92">
        <f t="shared" si="3"/>
        <v>4</v>
      </c>
      <c r="B92" t="s">
        <v>163</v>
      </c>
      <c r="C92">
        <v>1</v>
      </c>
      <c r="D92" t="s">
        <v>9</v>
      </c>
      <c r="E92" t="s">
        <v>67</v>
      </c>
      <c r="F92" t="s">
        <v>81</v>
      </c>
      <c r="G92" t="str">
        <f t="shared" si="4"/>
        <v>Firm D_Defy</v>
      </c>
      <c r="H92" t="str">
        <f t="shared" si="5"/>
        <v>Y1Q2_Firm D_Defy</v>
      </c>
      <c r="I92" t="s">
        <v>39</v>
      </c>
      <c r="J92">
        <v>25922</v>
      </c>
      <c r="K92">
        <v>43</v>
      </c>
      <c r="L92">
        <v>165</v>
      </c>
      <c r="M92">
        <v>2</v>
      </c>
      <c r="N92">
        <v>1</v>
      </c>
      <c r="O92">
        <v>3</v>
      </c>
      <c r="P92">
        <v>2</v>
      </c>
    </row>
    <row r="93" spans="1:16">
      <c r="A93">
        <f t="shared" si="3"/>
        <v>4</v>
      </c>
      <c r="B93" t="s">
        <v>163</v>
      </c>
      <c r="C93">
        <v>1</v>
      </c>
      <c r="D93" t="s">
        <v>9</v>
      </c>
      <c r="E93" t="s">
        <v>67</v>
      </c>
      <c r="F93" t="s">
        <v>68</v>
      </c>
      <c r="G93" t="str">
        <f t="shared" si="4"/>
        <v>Firm D_Delite</v>
      </c>
      <c r="H93" t="str">
        <f t="shared" si="5"/>
        <v>Y1Q2_Firm D_Delite</v>
      </c>
      <c r="I93" t="s">
        <v>33</v>
      </c>
      <c r="J93">
        <v>11293</v>
      </c>
      <c r="K93">
        <v>5</v>
      </c>
      <c r="L93">
        <v>85</v>
      </c>
      <c r="M93">
        <v>1</v>
      </c>
      <c r="N93">
        <v>1</v>
      </c>
      <c r="O93">
        <v>1</v>
      </c>
      <c r="P93">
        <v>1</v>
      </c>
    </row>
    <row r="94" spans="1:16">
      <c r="A94">
        <f t="shared" si="3"/>
        <v>4</v>
      </c>
      <c r="B94" t="s">
        <v>163</v>
      </c>
      <c r="C94">
        <v>1</v>
      </c>
      <c r="D94" t="s">
        <v>9</v>
      </c>
      <c r="E94" t="s">
        <v>67</v>
      </c>
      <c r="F94" t="s">
        <v>76</v>
      </c>
      <c r="G94" t="str">
        <f t="shared" si="4"/>
        <v>Firm D_Detonka</v>
      </c>
      <c r="H94" t="str">
        <f t="shared" si="5"/>
        <v>Y1Q2_Firm D_Detonka</v>
      </c>
      <c r="I94" t="s">
        <v>36</v>
      </c>
      <c r="J94">
        <v>19572</v>
      </c>
      <c r="K94">
        <v>66</v>
      </c>
      <c r="L94">
        <v>185</v>
      </c>
      <c r="M94">
        <v>1</v>
      </c>
      <c r="N94">
        <v>1</v>
      </c>
      <c r="O94">
        <v>1</v>
      </c>
      <c r="P94">
        <v>1</v>
      </c>
    </row>
    <row r="95" spans="1:16">
      <c r="A95">
        <f t="shared" si="3"/>
        <v>4</v>
      </c>
      <c r="B95" t="s">
        <v>163</v>
      </c>
      <c r="C95">
        <v>1</v>
      </c>
      <c r="D95" t="s">
        <v>9</v>
      </c>
      <c r="E95" t="s">
        <v>67</v>
      </c>
      <c r="F95" t="s">
        <v>89</v>
      </c>
      <c r="G95" t="str">
        <f t="shared" si="4"/>
        <v>Firm D_Dventure</v>
      </c>
      <c r="H95" t="str">
        <f t="shared" si="5"/>
        <v>Y1Q2_Firm D_Dventure</v>
      </c>
      <c r="I95" t="s">
        <v>46</v>
      </c>
      <c r="J95">
        <v>28900</v>
      </c>
      <c r="K95">
        <v>61</v>
      </c>
      <c r="L95">
        <v>225</v>
      </c>
      <c r="M95">
        <v>2</v>
      </c>
      <c r="N95">
        <v>3</v>
      </c>
      <c r="O95">
        <v>3</v>
      </c>
      <c r="P95">
        <v>2</v>
      </c>
    </row>
    <row r="96" spans="1:16">
      <c r="A96">
        <f t="shared" si="3"/>
        <v>4</v>
      </c>
      <c r="B96" t="s">
        <v>163</v>
      </c>
      <c r="C96">
        <v>1</v>
      </c>
      <c r="D96" t="s">
        <v>9</v>
      </c>
      <c r="E96" t="s">
        <v>67</v>
      </c>
      <c r="F96" t="s">
        <v>96</v>
      </c>
      <c r="G96" t="str">
        <f t="shared" si="4"/>
        <v>Firm D_Dynamo</v>
      </c>
      <c r="H96" t="str">
        <f t="shared" si="5"/>
        <v>Y1Q2_Firm D_Dynamo</v>
      </c>
      <c r="I96" t="s">
        <v>54</v>
      </c>
      <c r="J96">
        <v>41900</v>
      </c>
      <c r="K96">
        <v>68</v>
      </c>
      <c r="L96">
        <v>245</v>
      </c>
      <c r="M96">
        <v>3</v>
      </c>
      <c r="N96">
        <v>3</v>
      </c>
      <c r="O96">
        <v>3</v>
      </c>
      <c r="P96">
        <v>3</v>
      </c>
    </row>
    <row r="97" spans="1:16">
      <c r="A97">
        <f t="shared" si="3"/>
        <v>4</v>
      </c>
      <c r="B97" t="s">
        <v>163</v>
      </c>
      <c r="C97">
        <v>1</v>
      </c>
      <c r="D97" t="s">
        <v>9</v>
      </c>
      <c r="E97" t="s">
        <v>69</v>
      </c>
      <c r="F97" t="s">
        <v>70</v>
      </c>
      <c r="G97" t="str">
        <f t="shared" si="4"/>
        <v>Firm E_Econo</v>
      </c>
      <c r="H97" t="str">
        <f t="shared" si="5"/>
        <v>Y1Q2_Firm E_Econo</v>
      </c>
      <c r="I97" t="s">
        <v>33</v>
      </c>
      <c r="J97">
        <v>14900</v>
      </c>
      <c r="K97">
        <v>16</v>
      </c>
      <c r="L97">
        <v>120</v>
      </c>
      <c r="M97">
        <v>2</v>
      </c>
      <c r="N97">
        <v>2</v>
      </c>
      <c r="O97">
        <v>2</v>
      </c>
      <c r="P97">
        <v>2</v>
      </c>
    </row>
    <row r="98" spans="1:16">
      <c r="A98">
        <f t="shared" si="3"/>
        <v>4</v>
      </c>
      <c r="B98" t="s">
        <v>163</v>
      </c>
      <c r="C98">
        <v>1</v>
      </c>
      <c r="D98" t="s">
        <v>9</v>
      </c>
      <c r="E98" t="s">
        <v>69</v>
      </c>
      <c r="F98" t="s">
        <v>82</v>
      </c>
      <c r="G98" t="str">
        <f t="shared" si="4"/>
        <v>Firm E_Efizz</v>
      </c>
      <c r="H98" t="str">
        <f t="shared" si="5"/>
        <v>Y1Q2_Firm E_Efizz</v>
      </c>
      <c r="I98" t="s">
        <v>39</v>
      </c>
      <c r="J98">
        <v>18869</v>
      </c>
      <c r="K98">
        <v>35</v>
      </c>
      <c r="L98">
        <v>140</v>
      </c>
      <c r="M98">
        <v>1</v>
      </c>
      <c r="N98">
        <v>1</v>
      </c>
      <c r="O98">
        <v>2</v>
      </c>
      <c r="P98">
        <v>1</v>
      </c>
    </row>
    <row r="99" spans="1:16">
      <c r="A99">
        <f t="shared" si="3"/>
        <v>4</v>
      </c>
      <c r="B99" t="s">
        <v>163</v>
      </c>
      <c r="C99">
        <v>1</v>
      </c>
      <c r="D99" t="s">
        <v>9</v>
      </c>
      <c r="E99" t="s">
        <v>69</v>
      </c>
      <c r="F99" t="s">
        <v>85</v>
      </c>
      <c r="G99" t="str">
        <f t="shared" si="4"/>
        <v>Firm E_Espace</v>
      </c>
      <c r="H99" t="str">
        <f t="shared" si="5"/>
        <v>Y1Q2_Firm E_Espace</v>
      </c>
      <c r="I99" t="s">
        <v>43</v>
      </c>
      <c r="J99">
        <v>25900</v>
      </c>
      <c r="K99">
        <v>80</v>
      </c>
      <c r="L99">
        <v>185</v>
      </c>
      <c r="M99">
        <v>2</v>
      </c>
      <c r="N99">
        <v>2</v>
      </c>
      <c r="O99">
        <v>3</v>
      </c>
      <c r="P99">
        <v>2</v>
      </c>
    </row>
    <row r="100" spans="1:16">
      <c r="A100">
        <f t="shared" si="3"/>
        <v>4</v>
      </c>
      <c r="B100" t="s">
        <v>163</v>
      </c>
      <c r="C100">
        <v>1</v>
      </c>
      <c r="D100" t="s">
        <v>9</v>
      </c>
      <c r="E100" t="s">
        <v>69</v>
      </c>
      <c r="F100" t="s">
        <v>75</v>
      </c>
      <c r="G100" t="str">
        <f t="shared" si="4"/>
        <v>Firm E_Estruck</v>
      </c>
      <c r="H100" t="str">
        <f t="shared" si="5"/>
        <v>Y1Q2_Firm E_Estruck</v>
      </c>
      <c r="I100" t="s">
        <v>36</v>
      </c>
      <c r="J100">
        <v>21843</v>
      </c>
      <c r="K100">
        <v>75</v>
      </c>
      <c r="L100">
        <v>280</v>
      </c>
      <c r="M100">
        <v>1</v>
      </c>
      <c r="N100">
        <v>1</v>
      </c>
      <c r="O100">
        <v>1</v>
      </c>
      <c r="P100">
        <v>2</v>
      </c>
    </row>
    <row r="101" spans="1:16">
      <c r="A101">
        <f t="shared" si="3"/>
        <v>4</v>
      </c>
      <c r="B101" t="s">
        <v>163</v>
      </c>
      <c r="C101">
        <v>1</v>
      </c>
      <c r="D101" t="s">
        <v>9</v>
      </c>
      <c r="E101" t="s">
        <v>69</v>
      </c>
      <c r="F101" t="s">
        <v>87</v>
      </c>
      <c r="G101" t="str">
        <f t="shared" si="4"/>
        <v>Firm E_Euro</v>
      </c>
      <c r="H101" t="str">
        <f t="shared" si="5"/>
        <v>Y1Q2_Firm E_Euro</v>
      </c>
      <c r="I101" t="s">
        <v>46</v>
      </c>
      <c r="J101">
        <v>26528</v>
      </c>
      <c r="K101">
        <v>59</v>
      </c>
      <c r="L101">
        <v>200</v>
      </c>
      <c r="M101">
        <v>1</v>
      </c>
      <c r="N101">
        <v>3</v>
      </c>
      <c r="O101">
        <v>1</v>
      </c>
      <c r="P101">
        <v>1</v>
      </c>
    </row>
    <row r="102" spans="1:16">
      <c r="A102">
        <f t="shared" si="3"/>
        <v>5</v>
      </c>
      <c r="B102" t="s">
        <v>164</v>
      </c>
      <c r="C102">
        <v>2</v>
      </c>
      <c r="D102" t="s">
        <v>6</v>
      </c>
      <c r="E102" t="s">
        <v>71</v>
      </c>
      <c r="F102" t="s">
        <v>72</v>
      </c>
      <c r="G102" t="str">
        <f t="shared" si="4"/>
        <v>Firm A_Alec</v>
      </c>
      <c r="H102" t="str">
        <f t="shared" si="5"/>
        <v>Y1Q3_Firm A_Alec</v>
      </c>
      <c r="I102" t="s">
        <v>33</v>
      </c>
      <c r="J102">
        <v>15351</v>
      </c>
      <c r="K102">
        <v>14</v>
      </c>
      <c r="L102">
        <v>135</v>
      </c>
      <c r="M102">
        <v>2</v>
      </c>
      <c r="N102">
        <v>1</v>
      </c>
      <c r="O102">
        <v>3</v>
      </c>
      <c r="P102">
        <v>2</v>
      </c>
    </row>
    <row r="103" spans="1:16">
      <c r="A103">
        <f t="shared" si="3"/>
        <v>5</v>
      </c>
      <c r="B103" t="s">
        <v>164</v>
      </c>
      <c r="C103">
        <v>2</v>
      </c>
      <c r="D103" t="s">
        <v>6</v>
      </c>
      <c r="E103" t="s">
        <v>71</v>
      </c>
      <c r="F103" t="s">
        <v>78</v>
      </c>
      <c r="G103" t="str">
        <f t="shared" si="4"/>
        <v>Firm A_Alfa</v>
      </c>
      <c r="H103" t="str">
        <f t="shared" si="5"/>
        <v>Y1Q3_Firm A_Alfa</v>
      </c>
      <c r="I103" t="s">
        <v>39</v>
      </c>
      <c r="J103">
        <v>24084</v>
      </c>
      <c r="K103">
        <v>28</v>
      </c>
      <c r="L103">
        <v>165</v>
      </c>
      <c r="M103">
        <v>2</v>
      </c>
      <c r="N103">
        <v>1</v>
      </c>
      <c r="O103">
        <v>3</v>
      </c>
      <c r="P103">
        <v>2</v>
      </c>
    </row>
    <row r="104" spans="1:16">
      <c r="A104">
        <f t="shared" si="3"/>
        <v>5</v>
      </c>
      <c r="B104" t="s">
        <v>164</v>
      </c>
      <c r="C104">
        <v>2</v>
      </c>
      <c r="D104" t="s">
        <v>6</v>
      </c>
      <c r="E104" t="s">
        <v>71</v>
      </c>
      <c r="F104" t="s">
        <v>93</v>
      </c>
      <c r="G104" t="str">
        <f t="shared" si="4"/>
        <v>Firm A_Apex</v>
      </c>
      <c r="H104" t="str">
        <f t="shared" si="5"/>
        <v>Y1Q3_Firm A_Apex</v>
      </c>
      <c r="I104" t="s">
        <v>50</v>
      </c>
      <c r="J104">
        <v>31500</v>
      </c>
      <c r="K104">
        <v>48</v>
      </c>
      <c r="L104">
        <v>205</v>
      </c>
      <c r="M104">
        <v>3</v>
      </c>
      <c r="N104">
        <v>3</v>
      </c>
      <c r="O104">
        <v>2</v>
      </c>
      <c r="P104">
        <v>3</v>
      </c>
    </row>
    <row r="105" spans="1:16">
      <c r="A105">
        <f t="shared" si="3"/>
        <v>5</v>
      </c>
      <c r="B105" t="s">
        <v>164</v>
      </c>
      <c r="C105">
        <v>2</v>
      </c>
      <c r="D105" t="s">
        <v>6</v>
      </c>
      <c r="E105" t="s">
        <v>71</v>
      </c>
      <c r="F105" t="s">
        <v>86</v>
      </c>
      <c r="G105" t="str">
        <f t="shared" si="4"/>
        <v>Firm A_Atlas</v>
      </c>
      <c r="H105" t="str">
        <f t="shared" si="5"/>
        <v>Y1Q3_Firm A_Atlas</v>
      </c>
      <c r="I105" t="s">
        <v>43</v>
      </c>
      <c r="J105">
        <v>26800</v>
      </c>
      <c r="K105">
        <v>78</v>
      </c>
      <c r="L105">
        <v>195</v>
      </c>
      <c r="M105">
        <v>2</v>
      </c>
      <c r="N105">
        <v>2</v>
      </c>
      <c r="O105">
        <v>3</v>
      </c>
      <c r="P105">
        <v>2</v>
      </c>
    </row>
    <row r="106" spans="1:16">
      <c r="A106">
        <f t="shared" si="3"/>
        <v>5</v>
      </c>
      <c r="B106" t="s">
        <v>164</v>
      </c>
      <c r="C106">
        <v>2</v>
      </c>
      <c r="D106" t="s">
        <v>6</v>
      </c>
      <c r="E106" t="s">
        <v>71</v>
      </c>
      <c r="F106" t="s">
        <v>90</v>
      </c>
      <c r="G106" t="str">
        <f t="shared" si="4"/>
        <v>Firm A_Awesome</v>
      </c>
      <c r="H106" t="str">
        <f t="shared" si="5"/>
        <v>Y1Q3_Firm A_Awesome</v>
      </c>
      <c r="I106" t="s">
        <v>46</v>
      </c>
      <c r="J106">
        <v>21149</v>
      </c>
      <c r="K106">
        <v>40</v>
      </c>
      <c r="L106">
        <v>220</v>
      </c>
      <c r="M106">
        <v>1</v>
      </c>
      <c r="N106">
        <v>1</v>
      </c>
      <c r="O106">
        <v>1</v>
      </c>
      <c r="P106">
        <v>1</v>
      </c>
    </row>
    <row r="107" spans="1:16">
      <c r="A107">
        <f t="shared" si="3"/>
        <v>5</v>
      </c>
      <c r="B107" t="s">
        <v>164</v>
      </c>
      <c r="C107">
        <v>2</v>
      </c>
      <c r="D107" t="s">
        <v>6</v>
      </c>
      <c r="E107" t="s">
        <v>73</v>
      </c>
      <c r="F107" t="s">
        <v>94</v>
      </c>
      <c r="G107" t="str">
        <f t="shared" si="4"/>
        <v>Firm B_Beaut</v>
      </c>
      <c r="H107" t="str">
        <f t="shared" si="5"/>
        <v>Y1Q3_Firm B_Beaut</v>
      </c>
      <c r="I107" t="s">
        <v>54</v>
      </c>
      <c r="J107">
        <v>38385</v>
      </c>
      <c r="K107">
        <v>62</v>
      </c>
      <c r="L107">
        <v>240</v>
      </c>
      <c r="M107">
        <v>2</v>
      </c>
      <c r="N107">
        <v>4</v>
      </c>
      <c r="O107">
        <v>2</v>
      </c>
      <c r="P107">
        <v>2</v>
      </c>
    </row>
    <row r="108" spans="1:16">
      <c r="A108">
        <f t="shared" si="3"/>
        <v>5</v>
      </c>
      <c r="B108" t="s">
        <v>164</v>
      </c>
      <c r="C108">
        <v>2</v>
      </c>
      <c r="D108" t="s">
        <v>6</v>
      </c>
      <c r="E108" t="s">
        <v>73</v>
      </c>
      <c r="F108" t="s">
        <v>83</v>
      </c>
      <c r="G108" t="str">
        <f t="shared" si="4"/>
        <v>Firm B_Boffo</v>
      </c>
      <c r="H108" t="str">
        <f t="shared" si="5"/>
        <v>Y1Q3_Firm B_Boffo</v>
      </c>
      <c r="I108" t="s">
        <v>39</v>
      </c>
      <c r="J108">
        <v>35003</v>
      </c>
      <c r="K108">
        <v>49</v>
      </c>
      <c r="L108">
        <v>200</v>
      </c>
      <c r="M108">
        <v>4</v>
      </c>
      <c r="N108">
        <v>3</v>
      </c>
      <c r="O108">
        <v>2</v>
      </c>
      <c r="P108">
        <v>2</v>
      </c>
    </row>
    <row r="109" spans="1:16">
      <c r="A109">
        <f t="shared" si="3"/>
        <v>5</v>
      </c>
      <c r="B109" t="s">
        <v>164</v>
      </c>
      <c r="C109">
        <v>2</v>
      </c>
      <c r="D109" t="s">
        <v>6</v>
      </c>
      <c r="E109" t="s">
        <v>73</v>
      </c>
      <c r="F109" t="s">
        <v>74</v>
      </c>
      <c r="G109" t="str">
        <f t="shared" si="4"/>
        <v>Firm B_Breeze</v>
      </c>
      <c r="H109" t="str">
        <f t="shared" si="5"/>
        <v>Y1Q3_Firm B_Breeze</v>
      </c>
      <c r="I109" t="s">
        <v>33</v>
      </c>
      <c r="J109">
        <v>16900</v>
      </c>
      <c r="K109">
        <v>18</v>
      </c>
      <c r="L109">
        <v>130</v>
      </c>
      <c r="M109">
        <v>2</v>
      </c>
      <c r="N109">
        <v>2</v>
      </c>
      <c r="O109">
        <v>2</v>
      </c>
      <c r="P109">
        <v>2</v>
      </c>
    </row>
    <row r="110" spans="1:16">
      <c r="A110">
        <f t="shared" si="3"/>
        <v>5</v>
      </c>
      <c r="B110" t="s">
        <v>164</v>
      </c>
      <c r="C110">
        <v>2</v>
      </c>
      <c r="D110" t="s">
        <v>6</v>
      </c>
      <c r="E110" t="s">
        <v>73</v>
      </c>
      <c r="F110" t="s">
        <v>77</v>
      </c>
      <c r="G110" t="str">
        <f t="shared" si="4"/>
        <v>Firm B_Brute</v>
      </c>
      <c r="H110" t="str">
        <f t="shared" si="5"/>
        <v>Y1Q3_Firm B_Brute</v>
      </c>
      <c r="I110" t="s">
        <v>36</v>
      </c>
      <c r="J110">
        <v>24900</v>
      </c>
      <c r="K110">
        <v>72</v>
      </c>
      <c r="L110">
        <v>250</v>
      </c>
      <c r="M110">
        <v>2</v>
      </c>
      <c r="N110">
        <v>2</v>
      </c>
      <c r="O110">
        <v>2</v>
      </c>
      <c r="P110">
        <v>2</v>
      </c>
    </row>
    <row r="111" spans="1:16">
      <c r="A111">
        <f t="shared" si="3"/>
        <v>5</v>
      </c>
      <c r="B111" t="s">
        <v>164</v>
      </c>
      <c r="C111">
        <v>2</v>
      </c>
      <c r="D111" t="s">
        <v>6</v>
      </c>
      <c r="E111" t="s">
        <v>73</v>
      </c>
      <c r="F111" t="s">
        <v>92</v>
      </c>
      <c r="G111" t="str">
        <f t="shared" si="4"/>
        <v>Firm B_Buzzy</v>
      </c>
      <c r="H111" t="str">
        <f t="shared" si="5"/>
        <v>Y1Q3_Firm B_Buzzy</v>
      </c>
      <c r="I111" t="s">
        <v>50</v>
      </c>
      <c r="J111">
        <v>34652</v>
      </c>
      <c r="K111">
        <v>54</v>
      </c>
      <c r="L111">
        <v>190</v>
      </c>
      <c r="M111">
        <v>3</v>
      </c>
      <c r="N111">
        <v>3</v>
      </c>
      <c r="O111">
        <v>2</v>
      </c>
      <c r="P111">
        <v>3</v>
      </c>
    </row>
    <row r="112" spans="1:16">
      <c r="A112">
        <f t="shared" si="3"/>
        <v>5</v>
      </c>
      <c r="B112" t="s">
        <v>164</v>
      </c>
      <c r="C112">
        <v>2</v>
      </c>
      <c r="D112" t="s">
        <v>6</v>
      </c>
      <c r="E112" t="s">
        <v>79</v>
      </c>
      <c r="F112" t="s">
        <v>80</v>
      </c>
      <c r="G112" t="str">
        <f t="shared" si="4"/>
        <v>Firm C_Cafav</v>
      </c>
      <c r="H112" t="str">
        <f t="shared" si="5"/>
        <v>Y1Q3_Firm C_Cafav</v>
      </c>
      <c r="I112" t="s">
        <v>39</v>
      </c>
      <c r="J112">
        <v>31361</v>
      </c>
      <c r="K112">
        <v>49</v>
      </c>
      <c r="L112">
        <v>165</v>
      </c>
      <c r="M112">
        <v>4</v>
      </c>
      <c r="N112">
        <v>2</v>
      </c>
      <c r="O112">
        <v>2</v>
      </c>
      <c r="P112">
        <v>2</v>
      </c>
    </row>
    <row r="113" spans="1:16">
      <c r="A113">
        <f t="shared" si="3"/>
        <v>5</v>
      </c>
      <c r="B113" t="s">
        <v>164</v>
      </c>
      <c r="C113">
        <v>2</v>
      </c>
      <c r="D113" t="s">
        <v>6</v>
      </c>
      <c r="E113" t="s">
        <v>79</v>
      </c>
      <c r="F113" t="s">
        <v>84</v>
      </c>
      <c r="G113" t="str">
        <f t="shared" si="4"/>
        <v>Firm C_Camini</v>
      </c>
      <c r="H113" t="str">
        <f t="shared" si="5"/>
        <v>Y1Q3_Firm C_Camini</v>
      </c>
      <c r="I113" t="s">
        <v>43</v>
      </c>
      <c r="J113">
        <v>24144</v>
      </c>
      <c r="K113">
        <v>82</v>
      </c>
      <c r="L113">
        <v>200</v>
      </c>
      <c r="M113">
        <v>2</v>
      </c>
      <c r="N113">
        <v>1</v>
      </c>
      <c r="O113">
        <v>2</v>
      </c>
      <c r="P113">
        <v>1</v>
      </c>
    </row>
    <row r="114" spans="1:16">
      <c r="A114">
        <f t="shared" si="3"/>
        <v>5</v>
      </c>
      <c r="B114" t="s">
        <v>164</v>
      </c>
      <c r="C114">
        <v>2</v>
      </c>
      <c r="D114" t="s">
        <v>6</v>
      </c>
      <c r="E114" t="s">
        <v>79</v>
      </c>
      <c r="F114" t="s">
        <v>95</v>
      </c>
      <c r="G114" t="str">
        <f t="shared" si="4"/>
        <v>Firm C_Climax</v>
      </c>
      <c r="H114" t="str">
        <f t="shared" si="5"/>
        <v>Y1Q3_Firm C_Climax</v>
      </c>
      <c r="I114" t="s">
        <v>54</v>
      </c>
      <c r="J114">
        <v>45997</v>
      </c>
      <c r="K114">
        <v>74</v>
      </c>
      <c r="L114">
        <v>240</v>
      </c>
      <c r="M114">
        <v>4</v>
      </c>
      <c r="N114">
        <v>2</v>
      </c>
      <c r="O114">
        <v>2</v>
      </c>
      <c r="P114">
        <v>2</v>
      </c>
    </row>
    <row r="115" spans="1:16">
      <c r="A115">
        <f t="shared" si="3"/>
        <v>5</v>
      </c>
      <c r="B115" t="s">
        <v>164</v>
      </c>
      <c r="C115">
        <v>2</v>
      </c>
      <c r="D115" t="s">
        <v>6</v>
      </c>
      <c r="E115" t="s">
        <v>79</v>
      </c>
      <c r="F115" t="s">
        <v>91</v>
      </c>
      <c r="G115" t="str">
        <f t="shared" si="4"/>
        <v>Firm C_Corsa</v>
      </c>
      <c r="H115" t="str">
        <f t="shared" si="5"/>
        <v>Y1Q3_Firm C_Corsa</v>
      </c>
      <c r="I115" t="s">
        <v>50</v>
      </c>
      <c r="J115">
        <v>33900</v>
      </c>
      <c r="K115">
        <v>52</v>
      </c>
      <c r="L115">
        <v>215</v>
      </c>
      <c r="M115">
        <v>3</v>
      </c>
      <c r="N115">
        <v>4</v>
      </c>
      <c r="O115">
        <v>2</v>
      </c>
      <c r="P115">
        <v>3</v>
      </c>
    </row>
    <row r="116" spans="1:16">
      <c r="A116">
        <f t="shared" si="3"/>
        <v>5</v>
      </c>
      <c r="B116" t="s">
        <v>164</v>
      </c>
      <c r="C116">
        <v>2</v>
      </c>
      <c r="D116" t="s">
        <v>6</v>
      </c>
      <c r="E116" t="s">
        <v>79</v>
      </c>
      <c r="F116" t="s">
        <v>88</v>
      </c>
      <c r="G116" t="str">
        <f t="shared" si="4"/>
        <v>Firm C_Cruise</v>
      </c>
      <c r="H116" t="str">
        <f t="shared" si="5"/>
        <v>Y1Q3_Firm C_Cruise</v>
      </c>
      <c r="I116" t="s">
        <v>46</v>
      </c>
      <c r="J116">
        <v>27900</v>
      </c>
      <c r="K116">
        <v>58</v>
      </c>
      <c r="L116">
        <v>210</v>
      </c>
      <c r="M116">
        <v>3</v>
      </c>
      <c r="N116">
        <v>3</v>
      </c>
      <c r="O116">
        <v>3</v>
      </c>
      <c r="P116">
        <v>2</v>
      </c>
    </row>
    <row r="117" spans="1:16">
      <c r="A117">
        <f t="shared" si="3"/>
        <v>5</v>
      </c>
      <c r="B117" t="s">
        <v>164</v>
      </c>
      <c r="C117">
        <v>2</v>
      </c>
      <c r="D117" t="s">
        <v>6</v>
      </c>
      <c r="E117" t="s">
        <v>67</v>
      </c>
      <c r="F117" t="s">
        <v>81</v>
      </c>
      <c r="G117" t="str">
        <f t="shared" si="4"/>
        <v>Firm D_Defy</v>
      </c>
      <c r="H117" t="str">
        <f t="shared" si="5"/>
        <v>Y1Q3_Firm D_Defy</v>
      </c>
      <c r="I117" t="s">
        <v>39</v>
      </c>
      <c r="J117">
        <v>25922</v>
      </c>
      <c r="K117">
        <v>43</v>
      </c>
      <c r="L117">
        <v>165</v>
      </c>
      <c r="M117">
        <v>2</v>
      </c>
      <c r="N117">
        <v>1</v>
      </c>
      <c r="O117">
        <v>3</v>
      </c>
      <c r="P117">
        <v>2</v>
      </c>
    </row>
    <row r="118" spans="1:16">
      <c r="A118">
        <f t="shared" si="3"/>
        <v>5</v>
      </c>
      <c r="B118" t="s">
        <v>164</v>
      </c>
      <c r="C118">
        <v>2</v>
      </c>
      <c r="D118" t="s">
        <v>6</v>
      </c>
      <c r="E118" t="s">
        <v>67</v>
      </c>
      <c r="F118" t="s">
        <v>68</v>
      </c>
      <c r="G118" t="str">
        <f t="shared" si="4"/>
        <v>Firm D_Delite</v>
      </c>
      <c r="H118" t="str">
        <f t="shared" si="5"/>
        <v>Y1Q3_Firm D_Delite</v>
      </c>
      <c r="I118" t="s">
        <v>33</v>
      </c>
      <c r="J118">
        <v>11293</v>
      </c>
      <c r="K118">
        <v>5</v>
      </c>
      <c r="L118">
        <v>85</v>
      </c>
      <c r="M118">
        <v>1</v>
      </c>
      <c r="N118">
        <v>1</v>
      </c>
      <c r="O118">
        <v>1</v>
      </c>
      <c r="P118">
        <v>1</v>
      </c>
    </row>
    <row r="119" spans="1:16">
      <c r="A119">
        <f t="shared" si="3"/>
        <v>5</v>
      </c>
      <c r="B119" t="s">
        <v>164</v>
      </c>
      <c r="C119">
        <v>2</v>
      </c>
      <c r="D119" t="s">
        <v>6</v>
      </c>
      <c r="E119" t="s">
        <v>67</v>
      </c>
      <c r="F119" t="s">
        <v>76</v>
      </c>
      <c r="G119" t="str">
        <f t="shared" si="4"/>
        <v>Firm D_Detonka</v>
      </c>
      <c r="H119" t="str">
        <f t="shared" si="5"/>
        <v>Y1Q3_Firm D_Detonka</v>
      </c>
      <c r="I119" t="s">
        <v>36</v>
      </c>
      <c r="J119">
        <v>19572</v>
      </c>
      <c r="K119">
        <v>66</v>
      </c>
      <c r="L119">
        <v>185</v>
      </c>
      <c r="M119">
        <v>1</v>
      </c>
      <c r="N119">
        <v>1</v>
      </c>
      <c r="O119">
        <v>1</v>
      </c>
      <c r="P119">
        <v>1</v>
      </c>
    </row>
    <row r="120" spans="1:16">
      <c r="A120">
        <f t="shared" si="3"/>
        <v>5</v>
      </c>
      <c r="B120" t="s">
        <v>164</v>
      </c>
      <c r="C120">
        <v>2</v>
      </c>
      <c r="D120" t="s">
        <v>6</v>
      </c>
      <c r="E120" t="s">
        <v>67</v>
      </c>
      <c r="F120" t="s">
        <v>89</v>
      </c>
      <c r="G120" t="str">
        <f t="shared" si="4"/>
        <v>Firm D_Dventure</v>
      </c>
      <c r="H120" t="str">
        <f t="shared" si="5"/>
        <v>Y1Q3_Firm D_Dventure</v>
      </c>
      <c r="I120" t="s">
        <v>46</v>
      </c>
      <c r="J120">
        <v>28900</v>
      </c>
      <c r="K120">
        <v>61</v>
      </c>
      <c r="L120">
        <v>225</v>
      </c>
      <c r="M120">
        <v>2</v>
      </c>
      <c r="N120">
        <v>3</v>
      </c>
      <c r="O120">
        <v>3</v>
      </c>
      <c r="P120">
        <v>2</v>
      </c>
    </row>
    <row r="121" spans="1:16">
      <c r="A121">
        <f t="shared" si="3"/>
        <v>5</v>
      </c>
      <c r="B121" t="s">
        <v>164</v>
      </c>
      <c r="C121">
        <v>2</v>
      </c>
      <c r="D121" t="s">
        <v>6</v>
      </c>
      <c r="E121" t="s">
        <v>67</v>
      </c>
      <c r="F121" t="s">
        <v>96</v>
      </c>
      <c r="G121" t="str">
        <f t="shared" si="4"/>
        <v>Firm D_Dynamo</v>
      </c>
      <c r="H121" t="str">
        <f t="shared" si="5"/>
        <v>Y1Q3_Firm D_Dynamo</v>
      </c>
      <c r="I121" t="s">
        <v>54</v>
      </c>
      <c r="J121">
        <v>41900</v>
      </c>
      <c r="K121">
        <v>68</v>
      </c>
      <c r="L121">
        <v>245</v>
      </c>
      <c r="M121">
        <v>3</v>
      </c>
      <c r="N121">
        <v>3</v>
      </c>
      <c r="O121">
        <v>3</v>
      </c>
      <c r="P121">
        <v>3</v>
      </c>
    </row>
    <row r="122" spans="1:16">
      <c r="A122">
        <f t="shared" si="3"/>
        <v>5</v>
      </c>
      <c r="B122" t="s">
        <v>164</v>
      </c>
      <c r="C122">
        <v>2</v>
      </c>
      <c r="D122" t="s">
        <v>6</v>
      </c>
      <c r="E122" t="s">
        <v>69</v>
      </c>
      <c r="F122" t="s">
        <v>70</v>
      </c>
      <c r="G122" t="str">
        <f t="shared" si="4"/>
        <v>Firm E_Econo</v>
      </c>
      <c r="H122" t="str">
        <f t="shared" si="5"/>
        <v>Y1Q3_Firm E_Econo</v>
      </c>
      <c r="I122" t="s">
        <v>33</v>
      </c>
      <c r="J122">
        <v>14900</v>
      </c>
      <c r="K122">
        <v>16</v>
      </c>
      <c r="L122">
        <v>120</v>
      </c>
      <c r="M122">
        <v>2</v>
      </c>
      <c r="N122">
        <v>2</v>
      </c>
      <c r="O122">
        <v>2</v>
      </c>
      <c r="P122">
        <v>2</v>
      </c>
    </row>
    <row r="123" spans="1:16">
      <c r="A123">
        <f t="shared" si="3"/>
        <v>5</v>
      </c>
      <c r="B123" t="s">
        <v>164</v>
      </c>
      <c r="C123">
        <v>2</v>
      </c>
      <c r="D123" t="s">
        <v>6</v>
      </c>
      <c r="E123" t="s">
        <v>69</v>
      </c>
      <c r="F123" t="s">
        <v>82</v>
      </c>
      <c r="G123" t="str">
        <f t="shared" si="4"/>
        <v>Firm E_Efizz</v>
      </c>
      <c r="H123" t="str">
        <f t="shared" si="5"/>
        <v>Y1Q3_Firm E_Efizz</v>
      </c>
      <c r="I123" t="s">
        <v>39</v>
      </c>
      <c r="J123">
        <v>18869</v>
      </c>
      <c r="K123">
        <v>35</v>
      </c>
      <c r="L123">
        <v>140</v>
      </c>
      <c r="M123">
        <v>1</v>
      </c>
      <c r="N123">
        <v>1</v>
      </c>
      <c r="O123">
        <v>2</v>
      </c>
      <c r="P123">
        <v>1</v>
      </c>
    </row>
    <row r="124" spans="1:16">
      <c r="A124">
        <f t="shared" si="3"/>
        <v>5</v>
      </c>
      <c r="B124" t="s">
        <v>164</v>
      </c>
      <c r="C124">
        <v>2</v>
      </c>
      <c r="D124" t="s">
        <v>6</v>
      </c>
      <c r="E124" t="s">
        <v>69</v>
      </c>
      <c r="F124" t="s">
        <v>85</v>
      </c>
      <c r="G124" t="str">
        <f t="shared" si="4"/>
        <v>Firm E_Espace</v>
      </c>
      <c r="H124" t="str">
        <f t="shared" si="5"/>
        <v>Y1Q3_Firm E_Espace</v>
      </c>
      <c r="I124" t="s">
        <v>43</v>
      </c>
      <c r="J124">
        <v>25900</v>
      </c>
      <c r="K124">
        <v>80</v>
      </c>
      <c r="L124">
        <v>185</v>
      </c>
      <c r="M124">
        <v>2</v>
      </c>
      <c r="N124">
        <v>2</v>
      </c>
      <c r="O124">
        <v>3</v>
      </c>
      <c r="P124">
        <v>2</v>
      </c>
    </row>
    <row r="125" spans="1:16">
      <c r="A125">
        <f t="shared" si="3"/>
        <v>5</v>
      </c>
      <c r="B125" t="s">
        <v>164</v>
      </c>
      <c r="C125">
        <v>2</v>
      </c>
      <c r="D125" t="s">
        <v>6</v>
      </c>
      <c r="E125" t="s">
        <v>69</v>
      </c>
      <c r="F125" t="s">
        <v>75</v>
      </c>
      <c r="G125" t="str">
        <f t="shared" si="4"/>
        <v>Firm E_Estruck</v>
      </c>
      <c r="H125" t="str">
        <f t="shared" si="5"/>
        <v>Y1Q3_Firm E_Estruck</v>
      </c>
      <c r="I125" t="s">
        <v>36</v>
      </c>
      <c r="J125">
        <v>21843</v>
      </c>
      <c r="K125">
        <v>75</v>
      </c>
      <c r="L125">
        <v>280</v>
      </c>
      <c r="M125">
        <v>1</v>
      </c>
      <c r="N125">
        <v>1</v>
      </c>
      <c r="O125">
        <v>1</v>
      </c>
      <c r="P125">
        <v>2</v>
      </c>
    </row>
    <row r="126" spans="1:16">
      <c r="A126">
        <f t="shared" si="3"/>
        <v>5</v>
      </c>
      <c r="B126" t="s">
        <v>164</v>
      </c>
      <c r="C126">
        <v>2</v>
      </c>
      <c r="D126" t="s">
        <v>6</v>
      </c>
      <c r="E126" t="s">
        <v>69</v>
      </c>
      <c r="F126" t="s">
        <v>87</v>
      </c>
      <c r="G126" t="str">
        <f t="shared" si="4"/>
        <v>Firm E_Euro</v>
      </c>
      <c r="H126" t="str">
        <f t="shared" si="5"/>
        <v>Y1Q3_Firm E_Euro</v>
      </c>
      <c r="I126" t="s">
        <v>46</v>
      </c>
      <c r="J126">
        <v>26528</v>
      </c>
      <c r="K126">
        <v>59</v>
      </c>
      <c r="L126">
        <v>200</v>
      </c>
      <c r="M126">
        <v>1</v>
      </c>
      <c r="N126">
        <v>3</v>
      </c>
      <c r="O126">
        <v>1</v>
      </c>
      <c r="P126">
        <v>1</v>
      </c>
    </row>
    <row r="127" spans="1:16">
      <c r="A127">
        <f t="shared" si="3"/>
        <v>6</v>
      </c>
      <c r="B127" t="s">
        <v>164</v>
      </c>
      <c r="C127">
        <v>2</v>
      </c>
      <c r="D127" t="s">
        <v>7</v>
      </c>
      <c r="E127" t="s">
        <v>71</v>
      </c>
      <c r="F127" t="s">
        <v>72</v>
      </c>
      <c r="G127" t="str">
        <f t="shared" si="4"/>
        <v>Firm A_Alec</v>
      </c>
      <c r="H127" t="str">
        <f t="shared" si="5"/>
        <v>Y1Q3_Firm A_Alec</v>
      </c>
      <c r="I127" t="s">
        <v>33</v>
      </c>
      <c r="J127">
        <v>15351</v>
      </c>
      <c r="K127">
        <v>14</v>
      </c>
      <c r="L127">
        <v>135</v>
      </c>
      <c r="M127">
        <v>2</v>
      </c>
      <c r="N127">
        <v>1</v>
      </c>
      <c r="O127">
        <v>3</v>
      </c>
      <c r="P127">
        <v>2</v>
      </c>
    </row>
    <row r="128" spans="1:16">
      <c r="A128">
        <f t="shared" si="3"/>
        <v>6</v>
      </c>
      <c r="B128" t="s">
        <v>164</v>
      </c>
      <c r="C128">
        <v>2</v>
      </c>
      <c r="D128" t="s">
        <v>7</v>
      </c>
      <c r="E128" t="s">
        <v>71</v>
      </c>
      <c r="F128" t="s">
        <v>78</v>
      </c>
      <c r="G128" t="str">
        <f t="shared" si="4"/>
        <v>Firm A_Alfa</v>
      </c>
      <c r="H128" t="str">
        <f t="shared" si="5"/>
        <v>Y1Q3_Firm A_Alfa</v>
      </c>
      <c r="I128" t="s">
        <v>39</v>
      </c>
      <c r="J128">
        <v>24084</v>
      </c>
      <c r="K128">
        <v>28</v>
      </c>
      <c r="L128">
        <v>165</v>
      </c>
      <c r="M128">
        <v>2</v>
      </c>
      <c r="N128">
        <v>1</v>
      </c>
      <c r="O128">
        <v>3</v>
      </c>
      <c r="P128">
        <v>2</v>
      </c>
    </row>
    <row r="129" spans="1:16">
      <c r="A129">
        <f t="shared" si="3"/>
        <v>6</v>
      </c>
      <c r="B129" t="s">
        <v>164</v>
      </c>
      <c r="C129">
        <v>2</v>
      </c>
      <c r="D129" t="s">
        <v>7</v>
      </c>
      <c r="E129" t="s">
        <v>71</v>
      </c>
      <c r="F129" t="s">
        <v>93</v>
      </c>
      <c r="G129" t="str">
        <f t="shared" si="4"/>
        <v>Firm A_Apex</v>
      </c>
      <c r="H129" t="str">
        <f t="shared" si="5"/>
        <v>Y1Q3_Firm A_Apex</v>
      </c>
      <c r="I129" t="s">
        <v>50</v>
      </c>
      <c r="J129">
        <v>31500</v>
      </c>
      <c r="K129">
        <v>48</v>
      </c>
      <c r="L129">
        <v>205</v>
      </c>
      <c r="M129">
        <v>3</v>
      </c>
      <c r="N129">
        <v>3</v>
      </c>
      <c r="O129">
        <v>2</v>
      </c>
      <c r="P129">
        <v>3</v>
      </c>
    </row>
    <row r="130" spans="1:16">
      <c r="A130">
        <f t="shared" si="3"/>
        <v>6</v>
      </c>
      <c r="B130" t="s">
        <v>164</v>
      </c>
      <c r="C130">
        <v>2</v>
      </c>
      <c r="D130" t="s">
        <v>7</v>
      </c>
      <c r="E130" t="s">
        <v>71</v>
      </c>
      <c r="F130" t="s">
        <v>86</v>
      </c>
      <c r="G130" t="str">
        <f t="shared" si="4"/>
        <v>Firm A_Atlas</v>
      </c>
      <c r="H130" t="str">
        <f t="shared" si="5"/>
        <v>Y1Q3_Firm A_Atlas</v>
      </c>
      <c r="I130" t="s">
        <v>43</v>
      </c>
      <c r="J130">
        <v>26800</v>
      </c>
      <c r="K130">
        <v>78</v>
      </c>
      <c r="L130">
        <v>195</v>
      </c>
      <c r="M130">
        <v>2</v>
      </c>
      <c r="N130">
        <v>2</v>
      </c>
      <c r="O130">
        <v>3</v>
      </c>
      <c r="P130">
        <v>2</v>
      </c>
    </row>
    <row r="131" spans="1:16">
      <c r="A131">
        <f t="shared" ref="A131:A194" si="6">(C131-1)*4+VALUE(RIGHT(D131,1))</f>
        <v>6</v>
      </c>
      <c r="B131" t="s">
        <v>164</v>
      </c>
      <c r="C131">
        <v>2</v>
      </c>
      <c r="D131" t="s">
        <v>7</v>
      </c>
      <c r="E131" t="s">
        <v>71</v>
      </c>
      <c r="F131" t="s">
        <v>90</v>
      </c>
      <c r="G131" t="str">
        <f t="shared" ref="G131:G194" si="7">E131&amp;"_"&amp;F131</f>
        <v>Firm A_Awesome</v>
      </c>
      <c r="H131" t="str">
        <f t="shared" ref="H131:H194" si="8">B131&amp;"_"&amp;G131</f>
        <v>Y1Q3_Firm A_Awesome</v>
      </c>
      <c r="I131" t="s">
        <v>46</v>
      </c>
      <c r="J131">
        <v>21149</v>
      </c>
      <c r="K131">
        <v>40</v>
      </c>
      <c r="L131">
        <v>220</v>
      </c>
      <c r="M131">
        <v>1</v>
      </c>
      <c r="N131">
        <v>1</v>
      </c>
      <c r="O131">
        <v>1</v>
      </c>
      <c r="P131">
        <v>1</v>
      </c>
    </row>
    <row r="132" spans="1:16">
      <c r="A132">
        <f t="shared" si="6"/>
        <v>6</v>
      </c>
      <c r="B132" t="s">
        <v>164</v>
      </c>
      <c r="C132">
        <v>2</v>
      </c>
      <c r="D132" t="s">
        <v>7</v>
      </c>
      <c r="E132" t="s">
        <v>73</v>
      </c>
      <c r="F132" t="s">
        <v>94</v>
      </c>
      <c r="G132" t="str">
        <f t="shared" si="7"/>
        <v>Firm B_Beaut</v>
      </c>
      <c r="H132" t="str">
        <f t="shared" si="8"/>
        <v>Y1Q3_Firm B_Beaut</v>
      </c>
      <c r="I132" t="s">
        <v>54</v>
      </c>
      <c r="J132">
        <v>38385</v>
      </c>
      <c r="K132">
        <v>62</v>
      </c>
      <c r="L132">
        <v>240</v>
      </c>
      <c r="M132">
        <v>2</v>
      </c>
      <c r="N132">
        <v>4</v>
      </c>
      <c r="O132">
        <v>2</v>
      </c>
      <c r="P132">
        <v>2</v>
      </c>
    </row>
    <row r="133" spans="1:16">
      <c r="A133">
        <f t="shared" si="6"/>
        <v>6</v>
      </c>
      <c r="B133" t="s">
        <v>164</v>
      </c>
      <c r="C133">
        <v>2</v>
      </c>
      <c r="D133" t="s">
        <v>7</v>
      </c>
      <c r="E133" t="s">
        <v>73</v>
      </c>
      <c r="F133" t="s">
        <v>83</v>
      </c>
      <c r="G133" t="str">
        <f t="shared" si="7"/>
        <v>Firm B_Boffo</v>
      </c>
      <c r="H133" t="str">
        <f t="shared" si="8"/>
        <v>Y1Q3_Firm B_Boffo</v>
      </c>
      <c r="I133" t="s">
        <v>39</v>
      </c>
      <c r="J133">
        <v>35003</v>
      </c>
      <c r="K133">
        <v>49</v>
      </c>
      <c r="L133">
        <v>200</v>
      </c>
      <c r="M133">
        <v>4</v>
      </c>
      <c r="N133">
        <v>3</v>
      </c>
      <c r="O133">
        <v>2</v>
      </c>
      <c r="P133">
        <v>2</v>
      </c>
    </row>
    <row r="134" spans="1:16">
      <c r="A134">
        <f t="shared" si="6"/>
        <v>6</v>
      </c>
      <c r="B134" t="s">
        <v>164</v>
      </c>
      <c r="C134">
        <v>2</v>
      </c>
      <c r="D134" t="s">
        <v>7</v>
      </c>
      <c r="E134" t="s">
        <v>73</v>
      </c>
      <c r="F134" t="s">
        <v>74</v>
      </c>
      <c r="G134" t="str">
        <f t="shared" si="7"/>
        <v>Firm B_Breeze</v>
      </c>
      <c r="H134" t="str">
        <f t="shared" si="8"/>
        <v>Y1Q3_Firm B_Breeze</v>
      </c>
      <c r="I134" t="s">
        <v>33</v>
      </c>
      <c r="J134">
        <v>16900</v>
      </c>
      <c r="K134">
        <v>18</v>
      </c>
      <c r="L134">
        <v>130</v>
      </c>
      <c r="M134">
        <v>2</v>
      </c>
      <c r="N134">
        <v>2</v>
      </c>
      <c r="O134">
        <v>2</v>
      </c>
      <c r="P134">
        <v>2</v>
      </c>
    </row>
    <row r="135" spans="1:16">
      <c r="A135">
        <f t="shared" si="6"/>
        <v>6</v>
      </c>
      <c r="B135" t="s">
        <v>164</v>
      </c>
      <c r="C135">
        <v>2</v>
      </c>
      <c r="D135" t="s">
        <v>7</v>
      </c>
      <c r="E135" t="s">
        <v>73</v>
      </c>
      <c r="F135" t="s">
        <v>77</v>
      </c>
      <c r="G135" t="str">
        <f t="shared" si="7"/>
        <v>Firm B_Brute</v>
      </c>
      <c r="H135" t="str">
        <f t="shared" si="8"/>
        <v>Y1Q3_Firm B_Brute</v>
      </c>
      <c r="I135" t="s">
        <v>36</v>
      </c>
      <c r="J135">
        <v>24900</v>
      </c>
      <c r="K135">
        <v>72</v>
      </c>
      <c r="L135">
        <v>250</v>
      </c>
      <c r="M135">
        <v>2</v>
      </c>
      <c r="N135">
        <v>2</v>
      </c>
      <c r="O135">
        <v>2</v>
      </c>
      <c r="P135">
        <v>2</v>
      </c>
    </row>
    <row r="136" spans="1:16">
      <c r="A136">
        <f t="shared" si="6"/>
        <v>6</v>
      </c>
      <c r="B136" t="s">
        <v>164</v>
      </c>
      <c r="C136">
        <v>2</v>
      </c>
      <c r="D136" t="s">
        <v>7</v>
      </c>
      <c r="E136" t="s">
        <v>73</v>
      </c>
      <c r="F136" t="s">
        <v>92</v>
      </c>
      <c r="G136" t="str">
        <f t="shared" si="7"/>
        <v>Firm B_Buzzy</v>
      </c>
      <c r="H136" t="str">
        <f t="shared" si="8"/>
        <v>Y1Q3_Firm B_Buzzy</v>
      </c>
      <c r="I136" t="s">
        <v>50</v>
      </c>
      <c r="J136">
        <v>34652</v>
      </c>
      <c r="K136">
        <v>54</v>
      </c>
      <c r="L136">
        <v>190</v>
      </c>
      <c r="M136">
        <v>3</v>
      </c>
      <c r="N136">
        <v>3</v>
      </c>
      <c r="O136">
        <v>2</v>
      </c>
      <c r="P136">
        <v>3</v>
      </c>
    </row>
    <row r="137" spans="1:16">
      <c r="A137">
        <f t="shared" si="6"/>
        <v>6</v>
      </c>
      <c r="B137" t="s">
        <v>164</v>
      </c>
      <c r="C137">
        <v>2</v>
      </c>
      <c r="D137" t="s">
        <v>7</v>
      </c>
      <c r="E137" t="s">
        <v>79</v>
      </c>
      <c r="F137" t="s">
        <v>80</v>
      </c>
      <c r="G137" t="str">
        <f t="shared" si="7"/>
        <v>Firm C_Cafav</v>
      </c>
      <c r="H137" t="str">
        <f t="shared" si="8"/>
        <v>Y1Q3_Firm C_Cafav</v>
      </c>
      <c r="I137" t="s">
        <v>39</v>
      </c>
      <c r="J137">
        <v>31361</v>
      </c>
      <c r="K137">
        <v>49</v>
      </c>
      <c r="L137">
        <v>165</v>
      </c>
      <c r="M137">
        <v>4</v>
      </c>
      <c r="N137">
        <v>2</v>
      </c>
      <c r="O137">
        <v>2</v>
      </c>
      <c r="P137">
        <v>2</v>
      </c>
    </row>
    <row r="138" spans="1:16">
      <c r="A138">
        <f t="shared" si="6"/>
        <v>6</v>
      </c>
      <c r="B138" t="s">
        <v>164</v>
      </c>
      <c r="C138">
        <v>2</v>
      </c>
      <c r="D138" t="s">
        <v>7</v>
      </c>
      <c r="E138" t="s">
        <v>79</v>
      </c>
      <c r="F138" t="s">
        <v>84</v>
      </c>
      <c r="G138" t="str">
        <f t="shared" si="7"/>
        <v>Firm C_Camini</v>
      </c>
      <c r="H138" t="str">
        <f t="shared" si="8"/>
        <v>Y1Q3_Firm C_Camini</v>
      </c>
      <c r="I138" t="s">
        <v>43</v>
      </c>
      <c r="J138">
        <v>24144</v>
      </c>
      <c r="K138">
        <v>82</v>
      </c>
      <c r="L138">
        <v>200</v>
      </c>
      <c r="M138">
        <v>2</v>
      </c>
      <c r="N138">
        <v>1</v>
      </c>
      <c r="O138">
        <v>2</v>
      </c>
      <c r="P138">
        <v>1</v>
      </c>
    </row>
    <row r="139" spans="1:16">
      <c r="A139">
        <f t="shared" si="6"/>
        <v>6</v>
      </c>
      <c r="B139" t="s">
        <v>164</v>
      </c>
      <c r="C139">
        <v>2</v>
      </c>
      <c r="D139" t="s">
        <v>7</v>
      </c>
      <c r="E139" t="s">
        <v>79</v>
      </c>
      <c r="F139" t="s">
        <v>95</v>
      </c>
      <c r="G139" t="str">
        <f t="shared" si="7"/>
        <v>Firm C_Climax</v>
      </c>
      <c r="H139" t="str">
        <f t="shared" si="8"/>
        <v>Y1Q3_Firm C_Climax</v>
      </c>
      <c r="I139" t="s">
        <v>54</v>
      </c>
      <c r="J139">
        <v>45997</v>
      </c>
      <c r="K139">
        <v>74</v>
      </c>
      <c r="L139">
        <v>240</v>
      </c>
      <c r="M139">
        <v>4</v>
      </c>
      <c r="N139">
        <v>2</v>
      </c>
      <c r="O139">
        <v>2</v>
      </c>
      <c r="P139">
        <v>2</v>
      </c>
    </row>
    <row r="140" spans="1:16">
      <c r="A140">
        <f t="shared" si="6"/>
        <v>6</v>
      </c>
      <c r="B140" t="s">
        <v>164</v>
      </c>
      <c r="C140">
        <v>2</v>
      </c>
      <c r="D140" t="s">
        <v>7</v>
      </c>
      <c r="E140" t="s">
        <v>79</v>
      </c>
      <c r="F140" t="s">
        <v>91</v>
      </c>
      <c r="G140" t="str">
        <f t="shared" si="7"/>
        <v>Firm C_Corsa</v>
      </c>
      <c r="H140" t="str">
        <f t="shared" si="8"/>
        <v>Y1Q3_Firm C_Corsa</v>
      </c>
      <c r="I140" t="s">
        <v>50</v>
      </c>
      <c r="J140">
        <v>33900</v>
      </c>
      <c r="K140">
        <v>52</v>
      </c>
      <c r="L140">
        <v>215</v>
      </c>
      <c r="M140">
        <v>3</v>
      </c>
      <c r="N140">
        <v>4</v>
      </c>
      <c r="O140">
        <v>2</v>
      </c>
      <c r="P140">
        <v>3</v>
      </c>
    </row>
    <row r="141" spans="1:16">
      <c r="A141">
        <f t="shared" si="6"/>
        <v>6</v>
      </c>
      <c r="B141" t="s">
        <v>164</v>
      </c>
      <c r="C141">
        <v>2</v>
      </c>
      <c r="D141" t="s">
        <v>7</v>
      </c>
      <c r="E141" t="s">
        <v>79</v>
      </c>
      <c r="F141" t="s">
        <v>88</v>
      </c>
      <c r="G141" t="str">
        <f t="shared" si="7"/>
        <v>Firm C_Cruise</v>
      </c>
      <c r="H141" t="str">
        <f t="shared" si="8"/>
        <v>Y1Q3_Firm C_Cruise</v>
      </c>
      <c r="I141" t="s">
        <v>46</v>
      </c>
      <c r="J141">
        <v>27900</v>
      </c>
      <c r="K141">
        <v>58</v>
      </c>
      <c r="L141">
        <v>210</v>
      </c>
      <c r="M141">
        <v>3</v>
      </c>
      <c r="N141">
        <v>3</v>
      </c>
      <c r="O141">
        <v>3</v>
      </c>
      <c r="P141">
        <v>2</v>
      </c>
    </row>
    <row r="142" spans="1:16">
      <c r="A142">
        <f t="shared" si="6"/>
        <v>6</v>
      </c>
      <c r="B142" t="s">
        <v>164</v>
      </c>
      <c r="C142">
        <v>2</v>
      </c>
      <c r="D142" t="s">
        <v>7</v>
      </c>
      <c r="E142" t="s">
        <v>67</v>
      </c>
      <c r="F142" t="s">
        <v>81</v>
      </c>
      <c r="G142" t="str">
        <f t="shared" si="7"/>
        <v>Firm D_Defy</v>
      </c>
      <c r="H142" t="str">
        <f t="shared" si="8"/>
        <v>Y1Q3_Firm D_Defy</v>
      </c>
      <c r="I142" t="s">
        <v>39</v>
      </c>
      <c r="J142">
        <v>25922</v>
      </c>
      <c r="K142">
        <v>43</v>
      </c>
      <c r="L142">
        <v>165</v>
      </c>
      <c r="M142">
        <v>2</v>
      </c>
      <c r="N142">
        <v>1</v>
      </c>
      <c r="O142">
        <v>3</v>
      </c>
      <c r="P142">
        <v>2</v>
      </c>
    </row>
    <row r="143" spans="1:16">
      <c r="A143">
        <f t="shared" si="6"/>
        <v>6</v>
      </c>
      <c r="B143" t="s">
        <v>164</v>
      </c>
      <c r="C143">
        <v>2</v>
      </c>
      <c r="D143" t="s">
        <v>7</v>
      </c>
      <c r="E143" t="s">
        <v>67</v>
      </c>
      <c r="F143" t="s">
        <v>68</v>
      </c>
      <c r="G143" t="str">
        <f t="shared" si="7"/>
        <v>Firm D_Delite</v>
      </c>
      <c r="H143" t="str">
        <f t="shared" si="8"/>
        <v>Y1Q3_Firm D_Delite</v>
      </c>
      <c r="I143" t="s">
        <v>33</v>
      </c>
      <c r="J143">
        <v>11293</v>
      </c>
      <c r="K143">
        <v>5</v>
      </c>
      <c r="L143">
        <v>85</v>
      </c>
      <c r="M143">
        <v>1</v>
      </c>
      <c r="N143">
        <v>1</v>
      </c>
      <c r="O143">
        <v>1</v>
      </c>
      <c r="P143">
        <v>1</v>
      </c>
    </row>
    <row r="144" spans="1:16">
      <c r="A144">
        <f t="shared" si="6"/>
        <v>6</v>
      </c>
      <c r="B144" t="s">
        <v>164</v>
      </c>
      <c r="C144">
        <v>2</v>
      </c>
      <c r="D144" t="s">
        <v>7</v>
      </c>
      <c r="E144" t="s">
        <v>67</v>
      </c>
      <c r="F144" t="s">
        <v>76</v>
      </c>
      <c r="G144" t="str">
        <f t="shared" si="7"/>
        <v>Firm D_Detonka</v>
      </c>
      <c r="H144" t="str">
        <f t="shared" si="8"/>
        <v>Y1Q3_Firm D_Detonka</v>
      </c>
      <c r="I144" t="s">
        <v>36</v>
      </c>
      <c r="J144">
        <v>19572</v>
      </c>
      <c r="K144">
        <v>66</v>
      </c>
      <c r="L144">
        <v>185</v>
      </c>
      <c r="M144">
        <v>1</v>
      </c>
      <c r="N144">
        <v>1</v>
      </c>
      <c r="O144">
        <v>1</v>
      </c>
      <c r="P144">
        <v>1</v>
      </c>
    </row>
    <row r="145" spans="1:16">
      <c r="A145">
        <f t="shared" si="6"/>
        <v>6</v>
      </c>
      <c r="B145" t="s">
        <v>164</v>
      </c>
      <c r="C145">
        <v>2</v>
      </c>
      <c r="D145" t="s">
        <v>7</v>
      </c>
      <c r="E145" t="s">
        <v>67</v>
      </c>
      <c r="F145" t="s">
        <v>89</v>
      </c>
      <c r="G145" t="str">
        <f t="shared" si="7"/>
        <v>Firm D_Dventure</v>
      </c>
      <c r="H145" t="str">
        <f t="shared" si="8"/>
        <v>Y1Q3_Firm D_Dventure</v>
      </c>
      <c r="I145" t="s">
        <v>46</v>
      </c>
      <c r="J145">
        <v>28900</v>
      </c>
      <c r="K145">
        <v>61</v>
      </c>
      <c r="L145">
        <v>225</v>
      </c>
      <c r="M145">
        <v>2</v>
      </c>
      <c r="N145">
        <v>3</v>
      </c>
      <c r="O145">
        <v>3</v>
      </c>
      <c r="P145">
        <v>2</v>
      </c>
    </row>
    <row r="146" spans="1:16">
      <c r="A146">
        <f t="shared" si="6"/>
        <v>6</v>
      </c>
      <c r="B146" t="s">
        <v>164</v>
      </c>
      <c r="C146">
        <v>2</v>
      </c>
      <c r="D146" t="s">
        <v>7</v>
      </c>
      <c r="E146" t="s">
        <v>67</v>
      </c>
      <c r="F146" t="s">
        <v>96</v>
      </c>
      <c r="G146" t="str">
        <f t="shared" si="7"/>
        <v>Firm D_Dynamo</v>
      </c>
      <c r="H146" t="str">
        <f t="shared" si="8"/>
        <v>Y1Q3_Firm D_Dynamo</v>
      </c>
      <c r="I146" t="s">
        <v>54</v>
      </c>
      <c r="J146">
        <v>41900</v>
      </c>
      <c r="K146">
        <v>68</v>
      </c>
      <c r="L146">
        <v>245</v>
      </c>
      <c r="M146">
        <v>3</v>
      </c>
      <c r="N146">
        <v>3</v>
      </c>
      <c r="O146">
        <v>3</v>
      </c>
      <c r="P146">
        <v>3</v>
      </c>
    </row>
    <row r="147" spans="1:16">
      <c r="A147">
        <f t="shared" si="6"/>
        <v>6</v>
      </c>
      <c r="B147" t="s">
        <v>164</v>
      </c>
      <c r="C147">
        <v>2</v>
      </c>
      <c r="D147" t="s">
        <v>7</v>
      </c>
      <c r="E147" t="s">
        <v>69</v>
      </c>
      <c r="F147" t="s">
        <v>70</v>
      </c>
      <c r="G147" t="str">
        <f t="shared" si="7"/>
        <v>Firm E_Econo</v>
      </c>
      <c r="H147" t="str">
        <f t="shared" si="8"/>
        <v>Y1Q3_Firm E_Econo</v>
      </c>
      <c r="I147" t="s">
        <v>33</v>
      </c>
      <c r="J147">
        <v>14900</v>
      </c>
      <c r="K147">
        <v>16</v>
      </c>
      <c r="L147">
        <v>120</v>
      </c>
      <c r="M147">
        <v>2</v>
      </c>
      <c r="N147">
        <v>2</v>
      </c>
      <c r="O147">
        <v>2</v>
      </c>
      <c r="P147">
        <v>2</v>
      </c>
    </row>
    <row r="148" spans="1:16">
      <c r="A148">
        <f t="shared" si="6"/>
        <v>6</v>
      </c>
      <c r="B148" t="s">
        <v>164</v>
      </c>
      <c r="C148">
        <v>2</v>
      </c>
      <c r="D148" t="s">
        <v>7</v>
      </c>
      <c r="E148" t="s">
        <v>69</v>
      </c>
      <c r="F148" t="s">
        <v>82</v>
      </c>
      <c r="G148" t="str">
        <f t="shared" si="7"/>
        <v>Firm E_Efizz</v>
      </c>
      <c r="H148" t="str">
        <f t="shared" si="8"/>
        <v>Y1Q3_Firm E_Efizz</v>
      </c>
      <c r="I148" t="s">
        <v>39</v>
      </c>
      <c r="J148">
        <v>18869</v>
      </c>
      <c r="K148">
        <v>35</v>
      </c>
      <c r="L148">
        <v>140</v>
      </c>
      <c r="M148">
        <v>1</v>
      </c>
      <c r="N148">
        <v>1</v>
      </c>
      <c r="O148">
        <v>2</v>
      </c>
      <c r="P148">
        <v>1</v>
      </c>
    </row>
    <row r="149" spans="1:16">
      <c r="A149">
        <f t="shared" si="6"/>
        <v>6</v>
      </c>
      <c r="B149" t="s">
        <v>164</v>
      </c>
      <c r="C149">
        <v>2</v>
      </c>
      <c r="D149" t="s">
        <v>7</v>
      </c>
      <c r="E149" t="s">
        <v>69</v>
      </c>
      <c r="F149" t="s">
        <v>85</v>
      </c>
      <c r="G149" t="str">
        <f t="shared" si="7"/>
        <v>Firm E_Espace</v>
      </c>
      <c r="H149" t="str">
        <f t="shared" si="8"/>
        <v>Y1Q3_Firm E_Espace</v>
      </c>
      <c r="I149" t="s">
        <v>43</v>
      </c>
      <c r="J149">
        <v>25900</v>
      </c>
      <c r="K149">
        <v>80</v>
      </c>
      <c r="L149">
        <v>185</v>
      </c>
      <c r="M149">
        <v>2</v>
      </c>
      <c r="N149">
        <v>2</v>
      </c>
      <c r="O149">
        <v>3</v>
      </c>
      <c r="P149">
        <v>2</v>
      </c>
    </row>
    <row r="150" spans="1:16">
      <c r="A150">
        <f t="shared" si="6"/>
        <v>6</v>
      </c>
      <c r="B150" t="s">
        <v>164</v>
      </c>
      <c r="C150">
        <v>2</v>
      </c>
      <c r="D150" t="s">
        <v>7</v>
      </c>
      <c r="E150" t="s">
        <v>69</v>
      </c>
      <c r="F150" t="s">
        <v>75</v>
      </c>
      <c r="G150" t="str">
        <f t="shared" si="7"/>
        <v>Firm E_Estruck</v>
      </c>
      <c r="H150" t="str">
        <f t="shared" si="8"/>
        <v>Y1Q3_Firm E_Estruck</v>
      </c>
      <c r="I150" t="s">
        <v>36</v>
      </c>
      <c r="J150">
        <v>21843</v>
      </c>
      <c r="K150">
        <v>75</v>
      </c>
      <c r="L150">
        <v>280</v>
      </c>
      <c r="M150">
        <v>1</v>
      </c>
      <c r="N150">
        <v>1</v>
      </c>
      <c r="O150">
        <v>1</v>
      </c>
      <c r="P150">
        <v>2</v>
      </c>
    </row>
    <row r="151" spans="1:16">
      <c r="A151">
        <f t="shared" si="6"/>
        <v>6</v>
      </c>
      <c r="B151" t="s">
        <v>164</v>
      </c>
      <c r="C151">
        <v>2</v>
      </c>
      <c r="D151" t="s">
        <v>7</v>
      </c>
      <c r="E151" t="s">
        <v>69</v>
      </c>
      <c r="F151" t="s">
        <v>87</v>
      </c>
      <c r="G151" t="str">
        <f t="shared" si="7"/>
        <v>Firm E_Euro</v>
      </c>
      <c r="H151" t="str">
        <f t="shared" si="8"/>
        <v>Y1Q3_Firm E_Euro</v>
      </c>
      <c r="I151" t="s">
        <v>46</v>
      </c>
      <c r="J151">
        <v>26528</v>
      </c>
      <c r="K151">
        <v>59</v>
      </c>
      <c r="L151">
        <v>200</v>
      </c>
      <c r="M151">
        <v>1</v>
      </c>
      <c r="N151">
        <v>3</v>
      </c>
      <c r="O151">
        <v>1</v>
      </c>
      <c r="P151">
        <v>1</v>
      </c>
    </row>
    <row r="152" spans="1:16">
      <c r="A152">
        <f t="shared" si="6"/>
        <v>7</v>
      </c>
      <c r="B152" t="s">
        <v>165</v>
      </c>
      <c r="C152">
        <v>2</v>
      </c>
      <c r="D152" t="s">
        <v>8</v>
      </c>
      <c r="E152" t="s">
        <v>71</v>
      </c>
      <c r="F152" t="s">
        <v>72</v>
      </c>
      <c r="G152" t="str">
        <f t="shared" si="7"/>
        <v>Firm A_Alec</v>
      </c>
      <c r="H152" t="str">
        <f t="shared" si="8"/>
        <v>Y1Q4_Firm A_Alec</v>
      </c>
      <c r="I152" t="s">
        <v>33</v>
      </c>
      <c r="J152">
        <v>15351</v>
      </c>
      <c r="K152">
        <v>14</v>
      </c>
      <c r="L152">
        <v>135</v>
      </c>
      <c r="M152">
        <v>2</v>
      </c>
      <c r="N152">
        <v>1</v>
      </c>
      <c r="O152">
        <v>3</v>
      </c>
      <c r="P152">
        <v>2</v>
      </c>
    </row>
    <row r="153" spans="1:16">
      <c r="A153">
        <f t="shared" si="6"/>
        <v>7</v>
      </c>
      <c r="B153" t="s">
        <v>165</v>
      </c>
      <c r="C153">
        <v>2</v>
      </c>
      <c r="D153" t="s">
        <v>8</v>
      </c>
      <c r="E153" t="s">
        <v>71</v>
      </c>
      <c r="F153" t="s">
        <v>78</v>
      </c>
      <c r="G153" t="str">
        <f t="shared" si="7"/>
        <v>Firm A_Alfa</v>
      </c>
      <c r="H153" t="str">
        <f t="shared" si="8"/>
        <v>Y1Q4_Firm A_Alfa</v>
      </c>
      <c r="I153" t="s">
        <v>39</v>
      </c>
      <c r="J153">
        <v>24084</v>
      </c>
      <c r="K153">
        <v>28</v>
      </c>
      <c r="L153">
        <v>165</v>
      </c>
      <c r="M153">
        <v>2</v>
      </c>
      <c r="N153">
        <v>1</v>
      </c>
      <c r="O153">
        <v>3</v>
      </c>
      <c r="P153">
        <v>2</v>
      </c>
    </row>
    <row r="154" spans="1:16">
      <c r="A154">
        <f t="shared" si="6"/>
        <v>7</v>
      </c>
      <c r="B154" t="s">
        <v>165</v>
      </c>
      <c r="C154">
        <v>2</v>
      </c>
      <c r="D154" t="s">
        <v>8</v>
      </c>
      <c r="E154" t="s">
        <v>71</v>
      </c>
      <c r="F154" t="s">
        <v>93</v>
      </c>
      <c r="G154" t="str">
        <f t="shared" si="7"/>
        <v>Firm A_Apex</v>
      </c>
      <c r="H154" t="str">
        <f t="shared" si="8"/>
        <v>Y1Q4_Firm A_Apex</v>
      </c>
      <c r="I154" t="s">
        <v>50</v>
      </c>
      <c r="J154">
        <v>31500</v>
      </c>
      <c r="K154">
        <v>48</v>
      </c>
      <c r="L154">
        <v>205</v>
      </c>
      <c r="M154">
        <v>3</v>
      </c>
      <c r="N154">
        <v>3</v>
      </c>
      <c r="O154">
        <v>2</v>
      </c>
      <c r="P154">
        <v>3</v>
      </c>
    </row>
    <row r="155" spans="1:16">
      <c r="A155">
        <f t="shared" si="6"/>
        <v>7</v>
      </c>
      <c r="B155" t="s">
        <v>165</v>
      </c>
      <c r="C155">
        <v>2</v>
      </c>
      <c r="D155" t="s">
        <v>8</v>
      </c>
      <c r="E155" t="s">
        <v>71</v>
      </c>
      <c r="F155" t="s">
        <v>86</v>
      </c>
      <c r="G155" t="str">
        <f t="shared" si="7"/>
        <v>Firm A_Atlas</v>
      </c>
      <c r="H155" t="str">
        <f t="shared" si="8"/>
        <v>Y1Q4_Firm A_Atlas</v>
      </c>
      <c r="I155" t="s">
        <v>43</v>
      </c>
      <c r="J155">
        <v>26800</v>
      </c>
      <c r="K155">
        <v>78</v>
      </c>
      <c r="L155">
        <v>195</v>
      </c>
      <c r="M155">
        <v>2</v>
      </c>
      <c r="N155">
        <v>2</v>
      </c>
      <c r="O155">
        <v>3</v>
      </c>
      <c r="P155">
        <v>2</v>
      </c>
    </row>
    <row r="156" spans="1:16">
      <c r="A156">
        <f t="shared" si="6"/>
        <v>7</v>
      </c>
      <c r="B156" t="s">
        <v>165</v>
      </c>
      <c r="C156">
        <v>2</v>
      </c>
      <c r="D156" t="s">
        <v>8</v>
      </c>
      <c r="E156" t="s">
        <v>71</v>
      </c>
      <c r="F156" t="s">
        <v>90</v>
      </c>
      <c r="G156" t="str">
        <f t="shared" si="7"/>
        <v>Firm A_Awesome</v>
      </c>
      <c r="H156" t="str">
        <f t="shared" si="8"/>
        <v>Y1Q4_Firm A_Awesome</v>
      </c>
      <c r="I156" t="s">
        <v>46</v>
      </c>
      <c r="J156">
        <v>21149</v>
      </c>
      <c r="K156">
        <v>40</v>
      </c>
      <c r="L156">
        <v>220</v>
      </c>
      <c r="M156">
        <v>1</v>
      </c>
      <c r="N156">
        <v>1</v>
      </c>
      <c r="O156">
        <v>1</v>
      </c>
      <c r="P156">
        <v>1</v>
      </c>
    </row>
    <row r="157" spans="1:16">
      <c r="A157">
        <f t="shared" si="6"/>
        <v>7</v>
      </c>
      <c r="B157" t="s">
        <v>165</v>
      </c>
      <c r="C157">
        <v>2</v>
      </c>
      <c r="D157" t="s">
        <v>8</v>
      </c>
      <c r="E157" t="s">
        <v>73</v>
      </c>
      <c r="F157" t="s">
        <v>94</v>
      </c>
      <c r="G157" t="str">
        <f t="shared" si="7"/>
        <v>Firm B_Beaut</v>
      </c>
      <c r="H157" t="str">
        <f t="shared" si="8"/>
        <v>Y1Q4_Firm B_Beaut</v>
      </c>
      <c r="I157" t="s">
        <v>54</v>
      </c>
      <c r="J157">
        <v>38385</v>
      </c>
      <c r="K157">
        <v>62</v>
      </c>
      <c r="L157">
        <v>240</v>
      </c>
      <c r="M157">
        <v>2</v>
      </c>
      <c r="N157">
        <v>4</v>
      </c>
      <c r="O157">
        <v>2</v>
      </c>
      <c r="P157">
        <v>2</v>
      </c>
    </row>
    <row r="158" spans="1:16">
      <c r="A158">
        <f t="shared" si="6"/>
        <v>7</v>
      </c>
      <c r="B158" t="s">
        <v>165</v>
      </c>
      <c r="C158">
        <v>2</v>
      </c>
      <c r="D158" t="s">
        <v>8</v>
      </c>
      <c r="E158" t="s">
        <v>73</v>
      </c>
      <c r="F158" t="s">
        <v>83</v>
      </c>
      <c r="G158" t="str">
        <f t="shared" si="7"/>
        <v>Firm B_Boffo</v>
      </c>
      <c r="H158" t="str">
        <f t="shared" si="8"/>
        <v>Y1Q4_Firm B_Boffo</v>
      </c>
      <c r="I158" t="s">
        <v>39</v>
      </c>
      <c r="J158">
        <v>35003</v>
      </c>
      <c r="K158">
        <v>49</v>
      </c>
      <c r="L158">
        <v>200</v>
      </c>
      <c r="M158">
        <v>4</v>
      </c>
      <c r="N158">
        <v>3</v>
      </c>
      <c r="O158">
        <v>2</v>
      </c>
      <c r="P158">
        <v>2</v>
      </c>
    </row>
    <row r="159" spans="1:16">
      <c r="A159">
        <f t="shared" si="6"/>
        <v>7</v>
      </c>
      <c r="B159" t="s">
        <v>165</v>
      </c>
      <c r="C159">
        <v>2</v>
      </c>
      <c r="D159" t="s">
        <v>8</v>
      </c>
      <c r="E159" t="s">
        <v>73</v>
      </c>
      <c r="F159" t="s">
        <v>74</v>
      </c>
      <c r="G159" t="str">
        <f t="shared" si="7"/>
        <v>Firm B_Breeze</v>
      </c>
      <c r="H159" t="str">
        <f t="shared" si="8"/>
        <v>Y1Q4_Firm B_Breeze</v>
      </c>
      <c r="I159" t="s">
        <v>33</v>
      </c>
      <c r="J159">
        <v>16900</v>
      </c>
      <c r="K159">
        <v>18</v>
      </c>
      <c r="L159">
        <v>130</v>
      </c>
      <c r="M159">
        <v>2</v>
      </c>
      <c r="N159">
        <v>2</v>
      </c>
      <c r="O159">
        <v>2</v>
      </c>
      <c r="P159">
        <v>2</v>
      </c>
    </row>
    <row r="160" spans="1:16">
      <c r="A160">
        <f t="shared" si="6"/>
        <v>7</v>
      </c>
      <c r="B160" t="s">
        <v>165</v>
      </c>
      <c r="C160">
        <v>2</v>
      </c>
      <c r="D160" t="s">
        <v>8</v>
      </c>
      <c r="E160" t="s">
        <v>73</v>
      </c>
      <c r="F160" t="s">
        <v>77</v>
      </c>
      <c r="G160" t="str">
        <f t="shared" si="7"/>
        <v>Firm B_Brute</v>
      </c>
      <c r="H160" t="str">
        <f t="shared" si="8"/>
        <v>Y1Q4_Firm B_Brute</v>
      </c>
      <c r="I160" t="s">
        <v>36</v>
      </c>
      <c r="J160">
        <v>24900</v>
      </c>
      <c r="K160">
        <v>72</v>
      </c>
      <c r="L160">
        <v>250</v>
      </c>
      <c r="M160">
        <v>2</v>
      </c>
      <c r="N160">
        <v>2</v>
      </c>
      <c r="O160">
        <v>2</v>
      </c>
      <c r="P160">
        <v>2</v>
      </c>
    </row>
    <row r="161" spans="1:16">
      <c r="A161">
        <f t="shared" si="6"/>
        <v>7</v>
      </c>
      <c r="B161" t="s">
        <v>165</v>
      </c>
      <c r="C161">
        <v>2</v>
      </c>
      <c r="D161" t="s">
        <v>8</v>
      </c>
      <c r="E161" t="s">
        <v>73</v>
      </c>
      <c r="F161" t="s">
        <v>92</v>
      </c>
      <c r="G161" t="str">
        <f t="shared" si="7"/>
        <v>Firm B_Buzzy</v>
      </c>
      <c r="H161" t="str">
        <f t="shared" si="8"/>
        <v>Y1Q4_Firm B_Buzzy</v>
      </c>
      <c r="I161" t="s">
        <v>50</v>
      </c>
      <c r="J161">
        <v>34652</v>
      </c>
      <c r="K161">
        <v>54</v>
      </c>
      <c r="L161">
        <v>190</v>
      </c>
      <c r="M161">
        <v>3</v>
      </c>
      <c r="N161">
        <v>3</v>
      </c>
      <c r="O161">
        <v>2</v>
      </c>
      <c r="P161">
        <v>3</v>
      </c>
    </row>
    <row r="162" spans="1:16">
      <c r="A162">
        <f t="shared" si="6"/>
        <v>7</v>
      </c>
      <c r="B162" t="s">
        <v>165</v>
      </c>
      <c r="C162">
        <v>2</v>
      </c>
      <c r="D162" t="s">
        <v>8</v>
      </c>
      <c r="E162" t="s">
        <v>79</v>
      </c>
      <c r="F162" t="s">
        <v>80</v>
      </c>
      <c r="G162" t="str">
        <f t="shared" si="7"/>
        <v>Firm C_Cafav</v>
      </c>
      <c r="H162" t="str">
        <f t="shared" si="8"/>
        <v>Y1Q4_Firm C_Cafav</v>
      </c>
      <c r="I162" t="s">
        <v>39</v>
      </c>
      <c r="J162">
        <v>31361</v>
      </c>
      <c r="K162">
        <v>49</v>
      </c>
      <c r="L162">
        <v>165</v>
      </c>
      <c r="M162">
        <v>4</v>
      </c>
      <c r="N162">
        <v>2</v>
      </c>
      <c r="O162">
        <v>2</v>
      </c>
      <c r="P162">
        <v>2</v>
      </c>
    </row>
    <row r="163" spans="1:16">
      <c r="A163">
        <f t="shared" si="6"/>
        <v>7</v>
      </c>
      <c r="B163" t="s">
        <v>165</v>
      </c>
      <c r="C163">
        <v>2</v>
      </c>
      <c r="D163" t="s">
        <v>8</v>
      </c>
      <c r="E163" t="s">
        <v>79</v>
      </c>
      <c r="F163" t="s">
        <v>84</v>
      </c>
      <c r="G163" t="str">
        <f t="shared" si="7"/>
        <v>Firm C_Camini</v>
      </c>
      <c r="H163" t="str">
        <f t="shared" si="8"/>
        <v>Y1Q4_Firm C_Camini</v>
      </c>
      <c r="I163" t="s">
        <v>43</v>
      </c>
      <c r="J163">
        <v>24144</v>
      </c>
      <c r="K163">
        <v>82</v>
      </c>
      <c r="L163">
        <v>200</v>
      </c>
      <c r="M163">
        <v>2</v>
      </c>
      <c r="N163">
        <v>1</v>
      </c>
      <c r="O163">
        <v>2</v>
      </c>
      <c r="P163">
        <v>1</v>
      </c>
    </row>
    <row r="164" spans="1:16">
      <c r="A164">
        <f t="shared" si="6"/>
        <v>7</v>
      </c>
      <c r="B164" t="s">
        <v>165</v>
      </c>
      <c r="C164">
        <v>2</v>
      </c>
      <c r="D164" t="s">
        <v>8</v>
      </c>
      <c r="E164" t="s">
        <v>79</v>
      </c>
      <c r="F164" t="s">
        <v>95</v>
      </c>
      <c r="G164" t="str">
        <f t="shared" si="7"/>
        <v>Firm C_Climax</v>
      </c>
      <c r="H164" t="str">
        <f t="shared" si="8"/>
        <v>Y1Q4_Firm C_Climax</v>
      </c>
      <c r="I164" t="s">
        <v>54</v>
      </c>
      <c r="J164">
        <v>45997</v>
      </c>
      <c r="K164">
        <v>74</v>
      </c>
      <c r="L164">
        <v>240</v>
      </c>
      <c r="M164">
        <v>4</v>
      </c>
      <c r="N164">
        <v>2</v>
      </c>
      <c r="O164">
        <v>2</v>
      </c>
      <c r="P164">
        <v>2</v>
      </c>
    </row>
    <row r="165" spans="1:16">
      <c r="A165">
        <f t="shared" si="6"/>
        <v>7</v>
      </c>
      <c r="B165" t="s">
        <v>165</v>
      </c>
      <c r="C165">
        <v>2</v>
      </c>
      <c r="D165" t="s">
        <v>8</v>
      </c>
      <c r="E165" t="s">
        <v>79</v>
      </c>
      <c r="F165" t="s">
        <v>91</v>
      </c>
      <c r="G165" t="str">
        <f t="shared" si="7"/>
        <v>Firm C_Corsa</v>
      </c>
      <c r="H165" t="str">
        <f t="shared" si="8"/>
        <v>Y1Q4_Firm C_Corsa</v>
      </c>
      <c r="I165" t="s">
        <v>50</v>
      </c>
      <c r="J165">
        <v>33900</v>
      </c>
      <c r="K165">
        <v>52</v>
      </c>
      <c r="L165">
        <v>215</v>
      </c>
      <c r="M165">
        <v>3</v>
      </c>
      <c r="N165">
        <v>4</v>
      </c>
      <c r="O165">
        <v>2</v>
      </c>
      <c r="P165">
        <v>3</v>
      </c>
    </row>
    <row r="166" spans="1:16">
      <c r="A166">
        <f t="shared" si="6"/>
        <v>7</v>
      </c>
      <c r="B166" t="s">
        <v>165</v>
      </c>
      <c r="C166">
        <v>2</v>
      </c>
      <c r="D166" t="s">
        <v>8</v>
      </c>
      <c r="E166" t="s">
        <v>79</v>
      </c>
      <c r="F166" t="s">
        <v>88</v>
      </c>
      <c r="G166" t="str">
        <f t="shared" si="7"/>
        <v>Firm C_Cruise</v>
      </c>
      <c r="H166" t="str">
        <f t="shared" si="8"/>
        <v>Y1Q4_Firm C_Cruise</v>
      </c>
      <c r="I166" t="s">
        <v>46</v>
      </c>
      <c r="J166">
        <v>27900</v>
      </c>
      <c r="K166">
        <v>58</v>
      </c>
      <c r="L166">
        <v>210</v>
      </c>
      <c r="M166">
        <v>3</v>
      </c>
      <c r="N166">
        <v>3</v>
      </c>
      <c r="O166">
        <v>3</v>
      </c>
      <c r="P166">
        <v>2</v>
      </c>
    </row>
    <row r="167" spans="1:16">
      <c r="A167">
        <f t="shared" si="6"/>
        <v>7</v>
      </c>
      <c r="B167" t="s">
        <v>165</v>
      </c>
      <c r="C167">
        <v>2</v>
      </c>
      <c r="D167" t="s">
        <v>8</v>
      </c>
      <c r="E167" t="s">
        <v>67</v>
      </c>
      <c r="F167" t="s">
        <v>81</v>
      </c>
      <c r="G167" t="str">
        <f t="shared" si="7"/>
        <v>Firm D_Defy</v>
      </c>
      <c r="H167" t="str">
        <f t="shared" si="8"/>
        <v>Y1Q4_Firm D_Defy</v>
      </c>
      <c r="I167" t="s">
        <v>39</v>
      </c>
      <c r="J167">
        <v>25922</v>
      </c>
      <c r="K167">
        <v>43</v>
      </c>
      <c r="L167">
        <v>165</v>
      </c>
      <c r="M167">
        <v>2</v>
      </c>
      <c r="N167">
        <v>1</v>
      </c>
      <c r="O167">
        <v>3</v>
      </c>
      <c r="P167">
        <v>2</v>
      </c>
    </row>
    <row r="168" spans="1:16">
      <c r="A168">
        <f t="shared" si="6"/>
        <v>7</v>
      </c>
      <c r="B168" t="s">
        <v>165</v>
      </c>
      <c r="C168">
        <v>2</v>
      </c>
      <c r="D168" t="s">
        <v>8</v>
      </c>
      <c r="E168" t="s">
        <v>67</v>
      </c>
      <c r="F168" t="s">
        <v>68</v>
      </c>
      <c r="G168" t="str">
        <f t="shared" si="7"/>
        <v>Firm D_Delite</v>
      </c>
      <c r="H168" t="str">
        <f t="shared" si="8"/>
        <v>Y1Q4_Firm D_Delite</v>
      </c>
      <c r="I168" t="s">
        <v>33</v>
      </c>
      <c r="J168">
        <v>11293</v>
      </c>
      <c r="K168">
        <v>5</v>
      </c>
      <c r="L168">
        <v>85</v>
      </c>
      <c r="M168">
        <v>1</v>
      </c>
      <c r="N168">
        <v>1</v>
      </c>
      <c r="O168">
        <v>1</v>
      </c>
      <c r="P168">
        <v>1</v>
      </c>
    </row>
    <row r="169" spans="1:16">
      <c r="A169">
        <f t="shared" si="6"/>
        <v>7</v>
      </c>
      <c r="B169" t="s">
        <v>165</v>
      </c>
      <c r="C169">
        <v>2</v>
      </c>
      <c r="D169" t="s">
        <v>8</v>
      </c>
      <c r="E169" t="s">
        <v>67</v>
      </c>
      <c r="F169" t="s">
        <v>76</v>
      </c>
      <c r="G169" t="str">
        <f t="shared" si="7"/>
        <v>Firm D_Detonka</v>
      </c>
      <c r="H169" t="str">
        <f t="shared" si="8"/>
        <v>Y1Q4_Firm D_Detonka</v>
      </c>
      <c r="I169" t="s">
        <v>36</v>
      </c>
      <c r="J169">
        <v>19572</v>
      </c>
      <c r="K169">
        <v>66</v>
      </c>
      <c r="L169">
        <v>185</v>
      </c>
      <c r="M169">
        <v>1</v>
      </c>
      <c r="N169">
        <v>1</v>
      </c>
      <c r="O169">
        <v>1</v>
      </c>
      <c r="P169">
        <v>1</v>
      </c>
    </row>
    <row r="170" spans="1:16">
      <c r="A170">
        <f t="shared" si="6"/>
        <v>7</v>
      </c>
      <c r="B170" t="s">
        <v>165</v>
      </c>
      <c r="C170">
        <v>2</v>
      </c>
      <c r="D170" t="s">
        <v>8</v>
      </c>
      <c r="E170" t="s">
        <v>67</v>
      </c>
      <c r="F170" t="s">
        <v>89</v>
      </c>
      <c r="G170" t="str">
        <f t="shared" si="7"/>
        <v>Firm D_Dventure</v>
      </c>
      <c r="H170" t="str">
        <f t="shared" si="8"/>
        <v>Y1Q4_Firm D_Dventure</v>
      </c>
      <c r="I170" t="s">
        <v>46</v>
      </c>
      <c r="J170">
        <v>28900</v>
      </c>
      <c r="K170">
        <v>61</v>
      </c>
      <c r="L170">
        <v>225</v>
      </c>
      <c r="M170">
        <v>2</v>
      </c>
      <c r="N170">
        <v>3</v>
      </c>
      <c r="O170">
        <v>3</v>
      </c>
      <c r="P170">
        <v>2</v>
      </c>
    </row>
    <row r="171" spans="1:16">
      <c r="A171">
        <f t="shared" si="6"/>
        <v>7</v>
      </c>
      <c r="B171" t="s">
        <v>165</v>
      </c>
      <c r="C171">
        <v>2</v>
      </c>
      <c r="D171" t="s">
        <v>8</v>
      </c>
      <c r="E171" t="s">
        <v>67</v>
      </c>
      <c r="F171" t="s">
        <v>96</v>
      </c>
      <c r="G171" t="str">
        <f t="shared" si="7"/>
        <v>Firm D_Dynamo</v>
      </c>
      <c r="H171" t="str">
        <f t="shared" si="8"/>
        <v>Y1Q4_Firm D_Dynamo</v>
      </c>
      <c r="I171" t="s">
        <v>54</v>
      </c>
      <c r="J171">
        <v>41900</v>
      </c>
      <c r="K171">
        <v>68</v>
      </c>
      <c r="L171">
        <v>245</v>
      </c>
      <c r="M171">
        <v>3</v>
      </c>
      <c r="N171">
        <v>3</v>
      </c>
      <c r="O171">
        <v>3</v>
      </c>
      <c r="P171">
        <v>3</v>
      </c>
    </row>
    <row r="172" spans="1:16">
      <c r="A172">
        <f t="shared" si="6"/>
        <v>7</v>
      </c>
      <c r="B172" t="s">
        <v>165</v>
      </c>
      <c r="C172">
        <v>2</v>
      </c>
      <c r="D172" t="s">
        <v>8</v>
      </c>
      <c r="E172" t="s">
        <v>69</v>
      </c>
      <c r="F172" t="s">
        <v>70</v>
      </c>
      <c r="G172" t="str">
        <f t="shared" si="7"/>
        <v>Firm E_Econo</v>
      </c>
      <c r="H172" t="str">
        <f t="shared" si="8"/>
        <v>Y1Q4_Firm E_Econo</v>
      </c>
      <c r="I172" t="s">
        <v>33</v>
      </c>
      <c r="J172">
        <v>14900</v>
      </c>
      <c r="K172">
        <v>16</v>
      </c>
      <c r="L172">
        <v>120</v>
      </c>
      <c r="M172">
        <v>2</v>
      </c>
      <c r="N172">
        <v>2</v>
      </c>
      <c r="O172">
        <v>2</v>
      </c>
      <c r="P172">
        <v>2</v>
      </c>
    </row>
    <row r="173" spans="1:16">
      <c r="A173">
        <f t="shared" si="6"/>
        <v>7</v>
      </c>
      <c r="B173" t="s">
        <v>165</v>
      </c>
      <c r="C173">
        <v>2</v>
      </c>
      <c r="D173" t="s">
        <v>8</v>
      </c>
      <c r="E173" t="s">
        <v>69</v>
      </c>
      <c r="F173" t="s">
        <v>82</v>
      </c>
      <c r="G173" t="str">
        <f t="shared" si="7"/>
        <v>Firm E_Efizz</v>
      </c>
      <c r="H173" t="str">
        <f t="shared" si="8"/>
        <v>Y1Q4_Firm E_Efizz</v>
      </c>
      <c r="I173" t="s">
        <v>39</v>
      </c>
      <c r="J173">
        <v>18869</v>
      </c>
      <c r="K173">
        <v>35</v>
      </c>
      <c r="L173">
        <v>140</v>
      </c>
      <c r="M173">
        <v>1</v>
      </c>
      <c r="N173">
        <v>1</v>
      </c>
      <c r="O173">
        <v>2</v>
      </c>
      <c r="P173">
        <v>1</v>
      </c>
    </row>
    <row r="174" spans="1:16">
      <c r="A174">
        <f t="shared" si="6"/>
        <v>7</v>
      </c>
      <c r="B174" t="s">
        <v>165</v>
      </c>
      <c r="C174">
        <v>2</v>
      </c>
      <c r="D174" t="s">
        <v>8</v>
      </c>
      <c r="E174" t="s">
        <v>69</v>
      </c>
      <c r="F174" t="s">
        <v>85</v>
      </c>
      <c r="G174" t="str">
        <f t="shared" si="7"/>
        <v>Firm E_Espace</v>
      </c>
      <c r="H174" t="str">
        <f t="shared" si="8"/>
        <v>Y1Q4_Firm E_Espace</v>
      </c>
      <c r="I174" t="s">
        <v>43</v>
      </c>
      <c r="J174">
        <v>25900</v>
      </c>
      <c r="K174">
        <v>80</v>
      </c>
      <c r="L174">
        <v>185</v>
      </c>
      <c r="M174">
        <v>2</v>
      </c>
      <c r="N174">
        <v>2</v>
      </c>
      <c r="O174">
        <v>3</v>
      </c>
      <c r="P174">
        <v>2</v>
      </c>
    </row>
    <row r="175" spans="1:16">
      <c r="A175">
        <f t="shared" si="6"/>
        <v>7</v>
      </c>
      <c r="B175" t="s">
        <v>165</v>
      </c>
      <c r="C175">
        <v>2</v>
      </c>
      <c r="D175" t="s">
        <v>8</v>
      </c>
      <c r="E175" t="s">
        <v>69</v>
      </c>
      <c r="F175" t="s">
        <v>75</v>
      </c>
      <c r="G175" t="str">
        <f t="shared" si="7"/>
        <v>Firm E_Estruck</v>
      </c>
      <c r="H175" t="str">
        <f t="shared" si="8"/>
        <v>Y1Q4_Firm E_Estruck</v>
      </c>
      <c r="I175" t="s">
        <v>36</v>
      </c>
      <c r="J175">
        <v>21843</v>
      </c>
      <c r="K175">
        <v>75</v>
      </c>
      <c r="L175">
        <v>280</v>
      </c>
      <c r="M175">
        <v>1</v>
      </c>
      <c r="N175">
        <v>1</v>
      </c>
      <c r="O175">
        <v>1</v>
      </c>
      <c r="P175">
        <v>2</v>
      </c>
    </row>
    <row r="176" spans="1:16">
      <c r="A176">
        <f t="shared" si="6"/>
        <v>7</v>
      </c>
      <c r="B176" t="s">
        <v>165</v>
      </c>
      <c r="C176">
        <v>2</v>
      </c>
      <c r="D176" t="s">
        <v>8</v>
      </c>
      <c r="E176" t="s">
        <v>69</v>
      </c>
      <c r="F176" t="s">
        <v>87</v>
      </c>
      <c r="G176" t="str">
        <f t="shared" si="7"/>
        <v>Firm E_Euro</v>
      </c>
      <c r="H176" t="str">
        <f t="shared" si="8"/>
        <v>Y1Q4_Firm E_Euro</v>
      </c>
      <c r="I176" t="s">
        <v>46</v>
      </c>
      <c r="J176">
        <v>26528</v>
      </c>
      <c r="K176">
        <v>59</v>
      </c>
      <c r="L176">
        <v>200</v>
      </c>
      <c r="M176">
        <v>1</v>
      </c>
      <c r="N176">
        <v>3</v>
      </c>
      <c r="O176">
        <v>1</v>
      </c>
      <c r="P176">
        <v>1</v>
      </c>
    </row>
    <row r="177" spans="1:16">
      <c r="A177">
        <f t="shared" si="6"/>
        <v>8</v>
      </c>
      <c r="B177" t="s">
        <v>165</v>
      </c>
      <c r="C177">
        <v>2</v>
      </c>
      <c r="D177" t="s">
        <v>9</v>
      </c>
      <c r="E177" t="s">
        <v>71</v>
      </c>
      <c r="F177" t="s">
        <v>72</v>
      </c>
      <c r="G177" t="str">
        <f t="shared" si="7"/>
        <v>Firm A_Alec</v>
      </c>
      <c r="H177" t="str">
        <f t="shared" si="8"/>
        <v>Y1Q4_Firm A_Alec</v>
      </c>
      <c r="I177" t="s">
        <v>33</v>
      </c>
      <c r="J177">
        <v>15351</v>
      </c>
      <c r="K177">
        <v>14</v>
      </c>
      <c r="L177">
        <v>135</v>
      </c>
      <c r="M177">
        <v>2</v>
      </c>
      <c r="N177">
        <v>1</v>
      </c>
      <c r="O177">
        <v>3</v>
      </c>
      <c r="P177">
        <v>2</v>
      </c>
    </row>
    <row r="178" spans="1:16">
      <c r="A178">
        <f t="shared" si="6"/>
        <v>8</v>
      </c>
      <c r="B178" t="s">
        <v>165</v>
      </c>
      <c r="C178">
        <v>2</v>
      </c>
      <c r="D178" t="s">
        <v>9</v>
      </c>
      <c r="E178" t="s">
        <v>71</v>
      </c>
      <c r="F178" t="s">
        <v>78</v>
      </c>
      <c r="G178" t="str">
        <f t="shared" si="7"/>
        <v>Firm A_Alfa</v>
      </c>
      <c r="H178" t="str">
        <f t="shared" si="8"/>
        <v>Y1Q4_Firm A_Alfa</v>
      </c>
      <c r="I178" t="s">
        <v>39</v>
      </c>
      <c r="J178">
        <v>24084</v>
      </c>
      <c r="K178">
        <v>28</v>
      </c>
      <c r="L178">
        <v>165</v>
      </c>
      <c r="M178">
        <v>2</v>
      </c>
      <c r="N178">
        <v>1</v>
      </c>
      <c r="O178">
        <v>3</v>
      </c>
      <c r="P178">
        <v>2</v>
      </c>
    </row>
    <row r="179" spans="1:16">
      <c r="A179">
        <f t="shared" si="6"/>
        <v>8</v>
      </c>
      <c r="B179" t="s">
        <v>165</v>
      </c>
      <c r="C179">
        <v>2</v>
      </c>
      <c r="D179" t="s">
        <v>9</v>
      </c>
      <c r="E179" t="s">
        <v>71</v>
      </c>
      <c r="F179" t="s">
        <v>93</v>
      </c>
      <c r="G179" t="str">
        <f t="shared" si="7"/>
        <v>Firm A_Apex</v>
      </c>
      <c r="H179" t="str">
        <f t="shared" si="8"/>
        <v>Y1Q4_Firm A_Apex</v>
      </c>
      <c r="I179" t="s">
        <v>50</v>
      </c>
      <c r="J179">
        <v>31500</v>
      </c>
      <c r="K179">
        <v>48</v>
      </c>
      <c r="L179">
        <v>205</v>
      </c>
      <c r="M179">
        <v>3</v>
      </c>
      <c r="N179">
        <v>3</v>
      </c>
      <c r="O179">
        <v>2</v>
      </c>
      <c r="P179">
        <v>3</v>
      </c>
    </row>
    <row r="180" spans="1:16">
      <c r="A180">
        <f t="shared" si="6"/>
        <v>8</v>
      </c>
      <c r="B180" t="s">
        <v>165</v>
      </c>
      <c r="C180">
        <v>2</v>
      </c>
      <c r="D180" t="s">
        <v>9</v>
      </c>
      <c r="E180" t="s">
        <v>71</v>
      </c>
      <c r="F180" t="s">
        <v>86</v>
      </c>
      <c r="G180" t="str">
        <f t="shared" si="7"/>
        <v>Firm A_Atlas</v>
      </c>
      <c r="H180" t="str">
        <f t="shared" si="8"/>
        <v>Y1Q4_Firm A_Atlas</v>
      </c>
      <c r="I180" t="s">
        <v>43</v>
      </c>
      <c r="J180">
        <v>26800</v>
      </c>
      <c r="K180">
        <v>78</v>
      </c>
      <c r="L180">
        <v>195</v>
      </c>
      <c r="M180">
        <v>2</v>
      </c>
      <c r="N180">
        <v>2</v>
      </c>
      <c r="O180">
        <v>3</v>
      </c>
      <c r="P180">
        <v>2</v>
      </c>
    </row>
    <row r="181" spans="1:16">
      <c r="A181">
        <f t="shared" si="6"/>
        <v>8</v>
      </c>
      <c r="B181" t="s">
        <v>165</v>
      </c>
      <c r="C181">
        <v>2</v>
      </c>
      <c r="D181" t="s">
        <v>9</v>
      </c>
      <c r="E181" t="s">
        <v>71</v>
      </c>
      <c r="F181" t="s">
        <v>90</v>
      </c>
      <c r="G181" t="str">
        <f t="shared" si="7"/>
        <v>Firm A_Awesome</v>
      </c>
      <c r="H181" t="str">
        <f t="shared" si="8"/>
        <v>Y1Q4_Firm A_Awesome</v>
      </c>
      <c r="I181" t="s">
        <v>46</v>
      </c>
      <c r="J181">
        <v>21149</v>
      </c>
      <c r="K181">
        <v>40</v>
      </c>
      <c r="L181">
        <v>220</v>
      </c>
      <c r="M181">
        <v>1</v>
      </c>
      <c r="N181">
        <v>1</v>
      </c>
      <c r="O181">
        <v>1</v>
      </c>
      <c r="P181">
        <v>1</v>
      </c>
    </row>
    <row r="182" spans="1:16">
      <c r="A182">
        <f t="shared" si="6"/>
        <v>8</v>
      </c>
      <c r="B182" t="s">
        <v>165</v>
      </c>
      <c r="C182">
        <v>2</v>
      </c>
      <c r="D182" t="s">
        <v>9</v>
      </c>
      <c r="E182" t="s">
        <v>73</v>
      </c>
      <c r="F182" t="s">
        <v>94</v>
      </c>
      <c r="G182" t="str">
        <f t="shared" si="7"/>
        <v>Firm B_Beaut</v>
      </c>
      <c r="H182" t="str">
        <f t="shared" si="8"/>
        <v>Y1Q4_Firm B_Beaut</v>
      </c>
      <c r="I182" t="s">
        <v>54</v>
      </c>
      <c r="J182">
        <v>38385</v>
      </c>
      <c r="K182">
        <v>62</v>
      </c>
      <c r="L182">
        <v>240</v>
      </c>
      <c r="M182">
        <v>2</v>
      </c>
      <c r="N182">
        <v>4</v>
      </c>
      <c r="O182">
        <v>2</v>
      </c>
      <c r="P182">
        <v>2</v>
      </c>
    </row>
    <row r="183" spans="1:16">
      <c r="A183">
        <f t="shared" si="6"/>
        <v>8</v>
      </c>
      <c r="B183" t="s">
        <v>165</v>
      </c>
      <c r="C183">
        <v>2</v>
      </c>
      <c r="D183" t="s">
        <v>9</v>
      </c>
      <c r="E183" t="s">
        <v>73</v>
      </c>
      <c r="F183" t="s">
        <v>83</v>
      </c>
      <c r="G183" t="str">
        <f t="shared" si="7"/>
        <v>Firm B_Boffo</v>
      </c>
      <c r="H183" t="str">
        <f t="shared" si="8"/>
        <v>Y1Q4_Firm B_Boffo</v>
      </c>
      <c r="I183" t="s">
        <v>39</v>
      </c>
      <c r="J183">
        <v>35003</v>
      </c>
      <c r="K183">
        <v>49</v>
      </c>
      <c r="L183">
        <v>200</v>
      </c>
      <c r="M183">
        <v>4</v>
      </c>
      <c r="N183">
        <v>3</v>
      </c>
      <c r="O183">
        <v>2</v>
      </c>
      <c r="P183">
        <v>2</v>
      </c>
    </row>
    <row r="184" spans="1:16">
      <c r="A184">
        <f t="shared" si="6"/>
        <v>8</v>
      </c>
      <c r="B184" t="s">
        <v>165</v>
      </c>
      <c r="C184">
        <v>2</v>
      </c>
      <c r="D184" t="s">
        <v>9</v>
      </c>
      <c r="E184" t="s">
        <v>73</v>
      </c>
      <c r="F184" t="s">
        <v>74</v>
      </c>
      <c r="G184" t="str">
        <f t="shared" si="7"/>
        <v>Firm B_Breeze</v>
      </c>
      <c r="H184" t="str">
        <f t="shared" si="8"/>
        <v>Y1Q4_Firm B_Breeze</v>
      </c>
      <c r="I184" t="s">
        <v>33</v>
      </c>
      <c r="J184">
        <v>16900</v>
      </c>
      <c r="K184">
        <v>18</v>
      </c>
      <c r="L184">
        <v>130</v>
      </c>
      <c r="M184">
        <v>2</v>
      </c>
      <c r="N184">
        <v>2</v>
      </c>
      <c r="O184">
        <v>2</v>
      </c>
      <c r="P184">
        <v>2</v>
      </c>
    </row>
    <row r="185" spans="1:16">
      <c r="A185">
        <f t="shared" si="6"/>
        <v>8</v>
      </c>
      <c r="B185" t="s">
        <v>165</v>
      </c>
      <c r="C185">
        <v>2</v>
      </c>
      <c r="D185" t="s">
        <v>9</v>
      </c>
      <c r="E185" t="s">
        <v>73</v>
      </c>
      <c r="F185" t="s">
        <v>77</v>
      </c>
      <c r="G185" t="str">
        <f t="shared" si="7"/>
        <v>Firm B_Brute</v>
      </c>
      <c r="H185" t="str">
        <f t="shared" si="8"/>
        <v>Y1Q4_Firm B_Brute</v>
      </c>
      <c r="I185" t="s">
        <v>36</v>
      </c>
      <c r="J185">
        <v>24900</v>
      </c>
      <c r="K185">
        <v>72</v>
      </c>
      <c r="L185">
        <v>250</v>
      </c>
      <c r="M185">
        <v>2</v>
      </c>
      <c r="N185">
        <v>2</v>
      </c>
      <c r="O185">
        <v>2</v>
      </c>
      <c r="P185">
        <v>2</v>
      </c>
    </row>
    <row r="186" spans="1:16">
      <c r="A186">
        <f t="shared" si="6"/>
        <v>8</v>
      </c>
      <c r="B186" t="s">
        <v>165</v>
      </c>
      <c r="C186">
        <v>2</v>
      </c>
      <c r="D186" t="s">
        <v>9</v>
      </c>
      <c r="E186" t="s">
        <v>73</v>
      </c>
      <c r="F186" t="s">
        <v>92</v>
      </c>
      <c r="G186" t="str">
        <f t="shared" si="7"/>
        <v>Firm B_Buzzy</v>
      </c>
      <c r="H186" t="str">
        <f t="shared" si="8"/>
        <v>Y1Q4_Firm B_Buzzy</v>
      </c>
      <c r="I186" t="s">
        <v>50</v>
      </c>
      <c r="J186">
        <v>34652</v>
      </c>
      <c r="K186">
        <v>54</v>
      </c>
      <c r="L186">
        <v>190</v>
      </c>
      <c r="M186">
        <v>3</v>
      </c>
      <c r="N186">
        <v>3</v>
      </c>
      <c r="O186">
        <v>2</v>
      </c>
      <c r="P186">
        <v>3</v>
      </c>
    </row>
    <row r="187" spans="1:16">
      <c r="A187">
        <f t="shared" si="6"/>
        <v>8</v>
      </c>
      <c r="B187" t="s">
        <v>165</v>
      </c>
      <c r="C187">
        <v>2</v>
      </c>
      <c r="D187" t="s">
        <v>9</v>
      </c>
      <c r="E187" t="s">
        <v>79</v>
      </c>
      <c r="F187" t="s">
        <v>80</v>
      </c>
      <c r="G187" t="str">
        <f t="shared" si="7"/>
        <v>Firm C_Cafav</v>
      </c>
      <c r="H187" t="str">
        <f t="shared" si="8"/>
        <v>Y1Q4_Firm C_Cafav</v>
      </c>
      <c r="I187" t="s">
        <v>39</v>
      </c>
      <c r="J187">
        <v>31361</v>
      </c>
      <c r="K187">
        <v>49</v>
      </c>
      <c r="L187">
        <v>165</v>
      </c>
      <c r="M187">
        <v>4</v>
      </c>
      <c r="N187">
        <v>2</v>
      </c>
      <c r="O187">
        <v>2</v>
      </c>
      <c r="P187">
        <v>2</v>
      </c>
    </row>
    <row r="188" spans="1:16">
      <c r="A188">
        <f t="shared" si="6"/>
        <v>8</v>
      </c>
      <c r="B188" t="s">
        <v>165</v>
      </c>
      <c r="C188">
        <v>2</v>
      </c>
      <c r="D188" t="s">
        <v>9</v>
      </c>
      <c r="E188" t="s">
        <v>79</v>
      </c>
      <c r="F188" t="s">
        <v>84</v>
      </c>
      <c r="G188" t="str">
        <f t="shared" si="7"/>
        <v>Firm C_Camini</v>
      </c>
      <c r="H188" t="str">
        <f t="shared" si="8"/>
        <v>Y1Q4_Firm C_Camini</v>
      </c>
      <c r="I188" t="s">
        <v>43</v>
      </c>
      <c r="J188">
        <v>24144</v>
      </c>
      <c r="K188">
        <v>82</v>
      </c>
      <c r="L188">
        <v>200</v>
      </c>
      <c r="M188">
        <v>2</v>
      </c>
      <c r="N188">
        <v>1</v>
      </c>
      <c r="O188">
        <v>2</v>
      </c>
      <c r="P188">
        <v>1</v>
      </c>
    </row>
    <row r="189" spans="1:16">
      <c r="A189">
        <f t="shared" si="6"/>
        <v>8</v>
      </c>
      <c r="B189" t="s">
        <v>165</v>
      </c>
      <c r="C189">
        <v>2</v>
      </c>
      <c r="D189" t="s">
        <v>9</v>
      </c>
      <c r="E189" t="s">
        <v>79</v>
      </c>
      <c r="F189" t="s">
        <v>95</v>
      </c>
      <c r="G189" t="str">
        <f t="shared" si="7"/>
        <v>Firm C_Climax</v>
      </c>
      <c r="H189" t="str">
        <f t="shared" si="8"/>
        <v>Y1Q4_Firm C_Climax</v>
      </c>
      <c r="I189" t="s">
        <v>54</v>
      </c>
      <c r="J189">
        <v>45997</v>
      </c>
      <c r="K189">
        <v>74</v>
      </c>
      <c r="L189">
        <v>240</v>
      </c>
      <c r="M189">
        <v>4</v>
      </c>
      <c r="N189">
        <v>2</v>
      </c>
      <c r="O189">
        <v>2</v>
      </c>
      <c r="P189">
        <v>2</v>
      </c>
    </row>
    <row r="190" spans="1:16">
      <c r="A190">
        <f t="shared" si="6"/>
        <v>8</v>
      </c>
      <c r="B190" t="s">
        <v>165</v>
      </c>
      <c r="C190">
        <v>2</v>
      </c>
      <c r="D190" t="s">
        <v>9</v>
      </c>
      <c r="E190" t="s">
        <v>79</v>
      </c>
      <c r="F190" t="s">
        <v>91</v>
      </c>
      <c r="G190" t="str">
        <f t="shared" si="7"/>
        <v>Firm C_Corsa</v>
      </c>
      <c r="H190" t="str">
        <f t="shared" si="8"/>
        <v>Y1Q4_Firm C_Corsa</v>
      </c>
      <c r="I190" t="s">
        <v>50</v>
      </c>
      <c r="J190">
        <v>33900</v>
      </c>
      <c r="K190">
        <v>52</v>
      </c>
      <c r="L190">
        <v>215</v>
      </c>
      <c r="M190">
        <v>3</v>
      </c>
      <c r="N190">
        <v>4</v>
      </c>
      <c r="O190">
        <v>2</v>
      </c>
      <c r="P190">
        <v>3</v>
      </c>
    </row>
    <row r="191" spans="1:16">
      <c r="A191">
        <f t="shared" si="6"/>
        <v>8</v>
      </c>
      <c r="B191" t="s">
        <v>165</v>
      </c>
      <c r="C191">
        <v>2</v>
      </c>
      <c r="D191" t="s">
        <v>9</v>
      </c>
      <c r="E191" t="s">
        <v>79</v>
      </c>
      <c r="F191" t="s">
        <v>88</v>
      </c>
      <c r="G191" t="str">
        <f t="shared" si="7"/>
        <v>Firm C_Cruise</v>
      </c>
      <c r="H191" t="str">
        <f t="shared" si="8"/>
        <v>Y1Q4_Firm C_Cruise</v>
      </c>
      <c r="I191" t="s">
        <v>46</v>
      </c>
      <c r="J191">
        <v>27900</v>
      </c>
      <c r="K191">
        <v>58</v>
      </c>
      <c r="L191">
        <v>210</v>
      </c>
      <c r="M191">
        <v>3</v>
      </c>
      <c r="N191">
        <v>3</v>
      </c>
      <c r="O191">
        <v>3</v>
      </c>
      <c r="P191">
        <v>2</v>
      </c>
    </row>
    <row r="192" spans="1:16">
      <c r="A192">
        <f t="shared" si="6"/>
        <v>8</v>
      </c>
      <c r="B192" t="s">
        <v>165</v>
      </c>
      <c r="C192">
        <v>2</v>
      </c>
      <c r="D192" t="s">
        <v>9</v>
      </c>
      <c r="E192" t="s">
        <v>67</v>
      </c>
      <c r="F192" t="s">
        <v>81</v>
      </c>
      <c r="G192" t="str">
        <f t="shared" si="7"/>
        <v>Firm D_Defy</v>
      </c>
      <c r="H192" t="str">
        <f t="shared" si="8"/>
        <v>Y1Q4_Firm D_Defy</v>
      </c>
      <c r="I192" t="s">
        <v>39</v>
      </c>
      <c r="J192">
        <v>25922</v>
      </c>
      <c r="K192">
        <v>43</v>
      </c>
      <c r="L192">
        <v>165</v>
      </c>
      <c r="M192">
        <v>2</v>
      </c>
      <c r="N192">
        <v>1</v>
      </c>
      <c r="O192">
        <v>3</v>
      </c>
      <c r="P192">
        <v>2</v>
      </c>
    </row>
    <row r="193" spans="1:16">
      <c r="A193">
        <f t="shared" si="6"/>
        <v>8</v>
      </c>
      <c r="B193" t="s">
        <v>165</v>
      </c>
      <c r="C193">
        <v>2</v>
      </c>
      <c r="D193" t="s">
        <v>9</v>
      </c>
      <c r="E193" t="s">
        <v>67</v>
      </c>
      <c r="F193" t="s">
        <v>68</v>
      </c>
      <c r="G193" t="str">
        <f t="shared" si="7"/>
        <v>Firm D_Delite</v>
      </c>
      <c r="H193" t="str">
        <f t="shared" si="8"/>
        <v>Y1Q4_Firm D_Delite</v>
      </c>
      <c r="I193" t="s">
        <v>33</v>
      </c>
      <c r="J193">
        <v>11293</v>
      </c>
      <c r="K193">
        <v>5</v>
      </c>
      <c r="L193">
        <v>85</v>
      </c>
      <c r="M193">
        <v>1</v>
      </c>
      <c r="N193">
        <v>1</v>
      </c>
      <c r="O193">
        <v>1</v>
      </c>
      <c r="P193">
        <v>1</v>
      </c>
    </row>
    <row r="194" spans="1:16">
      <c r="A194">
        <f t="shared" si="6"/>
        <v>8</v>
      </c>
      <c r="B194" t="s">
        <v>165</v>
      </c>
      <c r="C194">
        <v>2</v>
      </c>
      <c r="D194" t="s">
        <v>9</v>
      </c>
      <c r="E194" t="s">
        <v>67</v>
      </c>
      <c r="F194" t="s">
        <v>76</v>
      </c>
      <c r="G194" t="str">
        <f t="shared" si="7"/>
        <v>Firm D_Detonka</v>
      </c>
      <c r="H194" t="str">
        <f t="shared" si="8"/>
        <v>Y1Q4_Firm D_Detonka</v>
      </c>
      <c r="I194" t="s">
        <v>36</v>
      </c>
      <c r="J194">
        <v>19572</v>
      </c>
      <c r="K194">
        <v>66</v>
      </c>
      <c r="L194">
        <v>185</v>
      </c>
      <c r="M194">
        <v>1</v>
      </c>
      <c r="N194">
        <v>1</v>
      </c>
      <c r="O194">
        <v>1</v>
      </c>
      <c r="P194">
        <v>1</v>
      </c>
    </row>
    <row r="195" spans="1:16">
      <c r="A195">
        <f>(C195-1)*4+VALUE(RIGHT(D195,1))</f>
        <v>8</v>
      </c>
      <c r="B195" t="s">
        <v>165</v>
      </c>
      <c r="C195">
        <v>2</v>
      </c>
      <c r="D195" t="s">
        <v>9</v>
      </c>
      <c r="E195" t="s">
        <v>67</v>
      </c>
      <c r="F195" t="s">
        <v>89</v>
      </c>
      <c r="G195" t="str">
        <f t="shared" ref="G195:G201" si="9">E195&amp;"_"&amp;F195</f>
        <v>Firm D_Dventure</v>
      </c>
      <c r="H195" t="str">
        <f t="shared" ref="H195:H201" si="10">B195&amp;"_"&amp;G195</f>
        <v>Y1Q4_Firm D_Dventure</v>
      </c>
      <c r="I195" t="s">
        <v>46</v>
      </c>
      <c r="J195">
        <v>28900</v>
      </c>
      <c r="K195">
        <v>61</v>
      </c>
      <c r="L195">
        <v>225</v>
      </c>
      <c r="M195">
        <v>2</v>
      </c>
      <c r="N195">
        <v>3</v>
      </c>
      <c r="O195">
        <v>3</v>
      </c>
      <c r="P195">
        <v>2</v>
      </c>
    </row>
    <row r="196" spans="1:16">
      <c r="A196">
        <f>(C196-1)*4+VALUE(RIGHT(D196,1))</f>
        <v>8</v>
      </c>
      <c r="B196" t="s">
        <v>165</v>
      </c>
      <c r="C196">
        <v>2</v>
      </c>
      <c r="D196" t="s">
        <v>9</v>
      </c>
      <c r="E196" t="s">
        <v>67</v>
      </c>
      <c r="F196" t="s">
        <v>96</v>
      </c>
      <c r="G196" t="str">
        <f t="shared" si="9"/>
        <v>Firm D_Dynamo</v>
      </c>
      <c r="H196" t="str">
        <f t="shared" si="10"/>
        <v>Y1Q4_Firm D_Dynamo</v>
      </c>
      <c r="I196" t="s">
        <v>54</v>
      </c>
      <c r="J196">
        <v>41900</v>
      </c>
      <c r="K196">
        <v>68</v>
      </c>
      <c r="L196">
        <v>245</v>
      </c>
      <c r="M196">
        <v>3</v>
      </c>
      <c r="N196">
        <v>3</v>
      </c>
      <c r="O196">
        <v>3</v>
      </c>
      <c r="P196">
        <v>3</v>
      </c>
    </row>
    <row r="197" spans="1:16">
      <c r="A197">
        <f>(C197-1)*4+VALUE(RIGHT(D197,1))</f>
        <v>8</v>
      </c>
      <c r="B197" t="s">
        <v>165</v>
      </c>
      <c r="C197">
        <v>2</v>
      </c>
      <c r="D197" t="s">
        <v>9</v>
      </c>
      <c r="E197" t="s">
        <v>69</v>
      </c>
      <c r="F197" t="s">
        <v>70</v>
      </c>
      <c r="G197" t="str">
        <f t="shared" si="9"/>
        <v>Firm E_Econo</v>
      </c>
      <c r="H197" t="str">
        <f t="shared" si="10"/>
        <v>Y1Q4_Firm E_Econo</v>
      </c>
      <c r="I197" t="s">
        <v>33</v>
      </c>
      <c r="J197">
        <v>14900</v>
      </c>
      <c r="K197">
        <v>16</v>
      </c>
      <c r="L197">
        <v>120</v>
      </c>
      <c r="M197">
        <v>2</v>
      </c>
      <c r="N197">
        <v>2</v>
      </c>
      <c r="O197">
        <v>2</v>
      </c>
      <c r="P197">
        <v>2</v>
      </c>
    </row>
    <row r="198" spans="1:16">
      <c r="A198">
        <f>(C198-1)*4+VALUE(RIGHT(D198,1))</f>
        <v>8</v>
      </c>
      <c r="B198" t="s">
        <v>165</v>
      </c>
      <c r="C198">
        <v>2</v>
      </c>
      <c r="D198" t="s">
        <v>9</v>
      </c>
      <c r="E198" t="s">
        <v>69</v>
      </c>
      <c r="F198" t="s">
        <v>82</v>
      </c>
      <c r="G198" t="str">
        <f t="shared" si="9"/>
        <v>Firm E_Efizz</v>
      </c>
      <c r="H198" t="str">
        <f t="shared" si="10"/>
        <v>Y1Q4_Firm E_Efizz</v>
      </c>
      <c r="I198" t="s">
        <v>39</v>
      </c>
      <c r="J198">
        <v>18869</v>
      </c>
      <c r="K198">
        <v>35</v>
      </c>
      <c r="L198">
        <v>140</v>
      </c>
      <c r="M198">
        <v>1</v>
      </c>
      <c r="N198">
        <v>1</v>
      </c>
      <c r="O198">
        <v>2</v>
      </c>
      <c r="P198">
        <v>1</v>
      </c>
    </row>
    <row r="199" spans="1:16">
      <c r="A199">
        <f>(C199-1)*4+VALUE(RIGHT(D199,1))</f>
        <v>8</v>
      </c>
      <c r="B199" t="s">
        <v>165</v>
      </c>
      <c r="C199">
        <v>2</v>
      </c>
      <c r="D199" t="s">
        <v>9</v>
      </c>
      <c r="E199" t="s">
        <v>69</v>
      </c>
      <c r="F199" t="s">
        <v>85</v>
      </c>
      <c r="G199" t="str">
        <f t="shared" si="9"/>
        <v>Firm E_Espace</v>
      </c>
      <c r="H199" t="str">
        <f t="shared" si="10"/>
        <v>Y1Q4_Firm E_Espace</v>
      </c>
      <c r="I199" t="s">
        <v>43</v>
      </c>
      <c r="J199">
        <v>25900</v>
      </c>
      <c r="K199">
        <v>80</v>
      </c>
      <c r="L199">
        <v>185</v>
      </c>
      <c r="M199">
        <v>2</v>
      </c>
      <c r="N199">
        <v>2</v>
      </c>
      <c r="O199">
        <v>3</v>
      </c>
      <c r="P199">
        <v>2</v>
      </c>
    </row>
    <row r="200" spans="1:16">
      <c r="A200">
        <f>(C200-1)*4+VALUE(RIGHT(D200,1))</f>
        <v>8</v>
      </c>
      <c r="B200" t="s">
        <v>165</v>
      </c>
      <c r="C200">
        <v>2</v>
      </c>
      <c r="D200" t="s">
        <v>9</v>
      </c>
      <c r="E200" t="s">
        <v>69</v>
      </c>
      <c r="F200" t="s">
        <v>75</v>
      </c>
      <c r="G200" t="str">
        <f t="shared" si="9"/>
        <v>Firm E_Estruck</v>
      </c>
      <c r="H200" t="str">
        <f t="shared" si="10"/>
        <v>Y1Q4_Firm E_Estruck</v>
      </c>
      <c r="I200" t="s">
        <v>36</v>
      </c>
      <c r="J200">
        <v>21843</v>
      </c>
      <c r="K200">
        <v>75</v>
      </c>
      <c r="L200">
        <v>280</v>
      </c>
      <c r="M200">
        <v>1</v>
      </c>
      <c r="N200">
        <v>1</v>
      </c>
      <c r="O200">
        <v>1</v>
      </c>
      <c r="P200">
        <v>2</v>
      </c>
    </row>
    <row r="201" spans="1:16">
      <c r="A201">
        <f>(C201-1)*4+VALUE(RIGHT(D201,1))</f>
        <v>8</v>
      </c>
      <c r="B201" t="s">
        <v>165</v>
      </c>
      <c r="C201">
        <v>2</v>
      </c>
      <c r="D201" t="s">
        <v>9</v>
      </c>
      <c r="E201" t="s">
        <v>69</v>
      </c>
      <c r="F201" t="s">
        <v>87</v>
      </c>
      <c r="G201" t="str">
        <f t="shared" si="9"/>
        <v>Firm E_Euro</v>
      </c>
      <c r="H201" t="str">
        <f t="shared" si="10"/>
        <v>Y1Q4_Firm E_Euro</v>
      </c>
      <c r="I201" t="s">
        <v>46</v>
      </c>
      <c r="J201">
        <v>26528</v>
      </c>
      <c r="K201">
        <v>59</v>
      </c>
      <c r="L201">
        <v>200</v>
      </c>
      <c r="M201">
        <v>1</v>
      </c>
      <c r="N201">
        <v>3</v>
      </c>
      <c r="O201">
        <v>1</v>
      </c>
      <c r="P201">
        <v>1</v>
      </c>
    </row>
  </sheetData>
  <sortState xmlns:xlrd2="http://schemas.microsoft.com/office/spreadsheetml/2017/richdata2" ref="C2:P201">
    <sortCondition ref="C2:C201"/>
    <sortCondition ref="D2:D201"/>
    <sortCondition ref="E2:E201"/>
    <sortCondition ref="F2:F20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08AA9-E0D6-0742-8790-C012352C0203}">
  <dimension ref="A1:M6"/>
  <sheetViews>
    <sheetView tabSelected="1" workbookViewId="0">
      <selection activeCell="F13" sqref="F13"/>
    </sheetView>
  </sheetViews>
  <sheetFormatPr baseColWidth="10" defaultRowHeight="15"/>
  <cols>
    <col min="3" max="3" width="12" customWidth="1"/>
    <col min="4" max="4" width="13" customWidth="1"/>
  </cols>
  <sheetData>
    <row r="1" spans="1:13">
      <c r="A1" s="1" t="s">
        <v>169</v>
      </c>
      <c r="B1" s="1" t="s">
        <v>170</v>
      </c>
      <c r="C1" s="1" t="s">
        <v>171</v>
      </c>
      <c r="D1" s="1" t="s">
        <v>172</v>
      </c>
      <c r="E1" s="1" t="s">
        <v>173</v>
      </c>
      <c r="F1" t="s">
        <v>174</v>
      </c>
      <c r="M1">
        <f>COUNTIFS($A$2:$A$201,A2,$B$2:$B$201,B2,$C$2:$C$201,C2,$D$2:$D$201,D2)</f>
        <v>1</v>
      </c>
    </row>
    <row r="2" spans="1:13">
      <c r="A2" t="s">
        <v>175</v>
      </c>
      <c r="B2" t="s">
        <v>161</v>
      </c>
      <c r="C2" t="s">
        <v>176</v>
      </c>
      <c r="D2" t="s">
        <v>161</v>
      </c>
      <c r="E2" t="s">
        <v>177</v>
      </c>
    </row>
    <row r="3" spans="1:13">
      <c r="A3" t="s">
        <v>178</v>
      </c>
      <c r="B3" t="s">
        <v>167</v>
      </c>
      <c r="C3" t="s">
        <v>176</v>
      </c>
      <c r="D3" t="s">
        <v>167</v>
      </c>
      <c r="E3" t="s">
        <v>177</v>
      </c>
    </row>
    <row r="4" spans="1:13">
      <c r="A4" t="s">
        <v>175</v>
      </c>
      <c r="B4" t="s">
        <v>161</v>
      </c>
      <c r="C4" t="s">
        <v>179</v>
      </c>
      <c r="D4" t="s">
        <v>161</v>
      </c>
      <c r="E4" t="s">
        <v>177</v>
      </c>
    </row>
    <row r="5" spans="1:13">
      <c r="A5" t="s">
        <v>178</v>
      </c>
      <c r="B5" t="s">
        <v>167</v>
      </c>
      <c r="C5" t="s">
        <v>179</v>
      </c>
      <c r="D5" t="s">
        <v>167</v>
      </c>
      <c r="E5" t="s">
        <v>177</v>
      </c>
    </row>
    <row r="6" spans="1:13">
      <c r="A6" t="s">
        <v>180</v>
      </c>
      <c r="B6" t="s">
        <v>181</v>
      </c>
      <c r="C6" t="s">
        <v>179</v>
      </c>
      <c r="D6" t="s">
        <v>181</v>
      </c>
      <c r="E6" t="s">
        <v>177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B1C0D-F851-0043-AC2A-EA75F24F97E1}">
  <dimension ref="A1:G5"/>
  <sheetViews>
    <sheetView workbookViewId="0">
      <selection activeCell="H12" sqref="H12"/>
    </sheetView>
  </sheetViews>
  <sheetFormatPr baseColWidth="10" defaultRowHeight="15"/>
  <sheetData>
    <row r="1" spans="1:7" s="1" customFormat="1">
      <c r="A1" s="1" t="s">
        <v>104</v>
      </c>
      <c r="B1" s="1" t="s">
        <v>0</v>
      </c>
      <c r="C1" s="1" t="s">
        <v>1</v>
      </c>
      <c r="D1" s="1" t="s">
        <v>105</v>
      </c>
      <c r="E1" s="1" t="s">
        <v>106</v>
      </c>
      <c r="F1" s="1" t="s">
        <v>107</v>
      </c>
      <c r="G1" s="1" t="s">
        <v>108</v>
      </c>
    </row>
    <row r="2" spans="1:7">
      <c r="A2" t="s">
        <v>109</v>
      </c>
      <c r="B2">
        <v>1</v>
      </c>
      <c r="C2" t="s">
        <v>7</v>
      </c>
      <c r="D2" t="s">
        <v>110</v>
      </c>
      <c r="E2" t="s">
        <v>111</v>
      </c>
      <c r="F2" t="s">
        <v>112</v>
      </c>
      <c r="G2" t="s">
        <v>113</v>
      </c>
    </row>
    <row r="3" spans="1:7">
      <c r="A3" t="s">
        <v>114</v>
      </c>
      <c r="B3">
        <v>1</v>
      </c>
      <c r="C3" t="s">
        <v>9</v>
      </c>
      <c r="D3" t="s">
        <v>115</v>
      </c>
      <c r="E3" t="s">
        <v>116</v>
      </c>
      <c r="F3" t="s">
        <v>117</v>
      </c>
      <c r="G3" t="s">
        <v>118</v>
      </c>
    </row>
    <row r="4" spans="1:7">
      <c r="A4" t="s">
        <v>119</v>
      </c>
      <c r="B4">
        <v>2</v>
      </c>
      <c r="C4" t="s">
        <v>7</v>
      </c>
      <c r="D4" t="s">
        <v>120</v>
      </c>
      <c r="E4" t="s">
        <v>116</v>
      </c>
      <c r="F4" t="s">
        <v>117</v>
      </c>
      <c r="G4" t="s">
        <v>121</v>
      </c>
    </row>
    <row r="5" spans="1:7">
      <c r="A5" t="s">
        <v>122</v>
      </c>
      <c r="B5">
        <v>2</v>
      </c>
      <c r="C5" t="s">
        <v>8</v>
      </c>
      <c r="D5" t="s">
        <v>123</v>
      </c>
      <c r="E5" t="s">
        <v>124</v>
      </c>
      <c r="F5" t="s">
        <v>125</v>
      </c>
      <c r="G5" t="s">
        <v>126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511B8-6350-5D42-A2B3-069246FD1977}">
  <dimension ref="A1:E24"/>
  <sheetViews>
    <sheetView workbookViewId="0">
      <selection activeCell="J7" sqref="J7"/>
    </sheetView>
  </sheetViews>
  <sheetFormatPr baseColWidth="10" defaultRowHeight="15"/>
  <cols>
    <col min="1" max="1" width="17.5" customWidth="1"/>
    <col min="4" max="4" width="18.83203125" customWidth="1"/>
  </cols>
  <sheetData>
    <row r="1" spans="1:5">
      <c r="A1" s="1" t="s">
        <v>127</v>
      </c>
    </row>
    <row r="3" spans="1:5">
      <c r="A3" t="s">
        <v>0</v>
      </c>
      <c r="B3" s="9">
        <v>2</v>
      </c>
    </row>
    <row r="4" spans="1:5">
      <c r="A4" t="s">
        <v>1</v>
      </c>
      <c r="B4" t="s">
        <v>7</v>
      </c>
    </row>
    <row r="5" spans="1:5">
      <c r="A5" t="s">
        <v>63</v>
      </c>
      <c r="B5" t="s">
        <v>79</v>
      </c>
    </row>
    <row r="6" spans="1:5">
      <c r="A6" t="s">
        <v>97</v>
      </c>
      <c r="B6" t="s">
        <v>80</v>
      </c>
    </row>
    <row r="7" spans="1:5">
      <c r="A7" t="s">
        <v>29</v>
      </c>
      <c r="B7" t="s">
        <v>38</v>
      </c>
    </row>
    <row r="9" spans="1:5">
      <c r="A9" s="1" t="s">
        <v>128</v>
      </c>
      <c r="D9" s="1" t="s">
        <v>131</v>
      </c>
    </row>
    <row r="10" spans="1:5">
      <c r="A10" t="s">
        <v>129</v>
      </c>
      <c r="B10" t="str" cm="1">
        <f t="array" ref="B10">_xlfn.XLOOKUP(1,(Vehicles!C:C=$B$3)*(Vehicles!D:D=$B$4)*(Vehicles!E:E=$B$5)*(Vehicles!F:F=$B$6),Vehicles!I:I)</f>
        <v>Family</v>
      </c>
      <c r="D10" t="s">
        <v>139</v>
      </c>
      <c r="E10" cm="1">
        <f t="array" ref="E10">_xlfn.XLOOKUP(1,(Market_Sales!A:A=$B$3)*(Market_Sales!B:B=$B$4)*(Market_Sales!C:C=$B$7),Market_Sales!G:G)</f>
        <v>257</v>
      </c>
    </row>
    <row r="11" spans="1:5">
      <c r="A11" t="s">
        <v>130</v>
      </c>
      <c r="B11" cm="1">
        <f t="array" ref="B11">_xlfn.XLOOKUP(1,(Vehicles!C:C=$B$3)*(Vehicles!D:D=$B$4)*(Vehicles!E:E=$B$5)*(Vehicles!F:F=$B$6),Vehicles!J:J)</f>
        <v>31361</v>
      </c>
      <c r="D11" t="s">
        <v>140</v>
      </c>
      <c r="E11" s="7" cm="1">
        <f t="array" ref="E11">_xlfn.XLOOKUP(1,(Microsegment_Sales!A:A=$B$3)*(Microsegment_Sales!B:B=$B$4)*(Microsegment_Sales!D:D=$B$7),Microsegment_Sales!I:I)</f>
        <v>0.36670000000000003</v>
      </c>
    </row>
    <row r="12" spans="1:5">
      <c r="A12" t="s">
        <v>98</v>
      </c>
      <c r="B12" cm="1">
        <f t="array" ref="B12">_xlfn.XLOOKUP(1,(Vehicles!C:C=$B$3)*(Vehicles!D:D=$B$4)*(Vehicles!E:E=$B$5)*(Vehicles!F:F=$B$6),Vehicles!K:K)</f>
        <v>49</v>
      </c>
      <c r="D12" t="s">
        <v>141</v>
      </c>
      <c r="E12" s="7" cm="1">
        <f t="array" ref="E12">_xlfn.XLOOKUP(1,(Market_Sales!A:A=$B$3)*(Market_Sales!B:B=$B$4)*(Market_Sales!C:C=$B$7),Market_Sales!H:H)</f>
        <v>0.17411924119241193</v>
      </c>
    </row>
    <row r="13" spans="1:5">
      <c r="A13" t="s">
        <v>99</v>
      </c>
      <c r="B13" cm="1">
        <f t="array" ref="B13">_xlfn.XLOOKUP(1,(Vehicles!C:C=$B$3)*(Vehicles!D:D=$B$4)*(Vehicles!E:E=$B$5)*(Vehicles!F:F=$B$6),Vehicles!L:L)</f>
        <v>165</v>
      </c>
      <c r="D13" t="s">
        <v>132</v>
      </c>
      <c r="E13" s="7" cm="1">
        <f t="array" ref="E13">IFERROR(E10/_xlfn.XLOOKUP(1,(Market_Sales!A:A=IF(B4="Q1",B3-1,B3))*(Market_Sales!B:B=IF(B4="Q1","Q4","Q"&amp;(VALUE(RIGHT(B4,1))-1)))*(Market_Sales!C:C=B7),Market_Sales!G:G)-1,"No Historical Data")</f>
        <v>-1.1538461538461497E-2</v>
      </c>
    </row>
    <row r="14" spans="1:5">
      <c r="A14" t="s">
        <v>100</v>
      </c>
      <c r="B14" cm="1">
        <f t="array" ref="B14">_xlfn.XLOOKUP(1,(Vehicles!C:C=$B$3)*(Vehicles!D:D=$B$4)*(Vehicles!E:E=$B$5)*(Vehicles!F:F=$B$6),Vehicles!M:M)</f>
        <v>4</v>
      </c>
      <c r="D14" t="s">
        <v>133</v>
      </c>
      <c r="E14" s="7" cm="1">
        <f t="array" ref="E14">IFERROR(E10/_xlfn.XLOOKUP(1,(Market_Sales!A:A=B3-1)*(Market_Sales!B:B=B4)*(Market_Sales!C:C=B7),Market_Sales!G:G)-1,"No Historical Data")</f>
        <v>7.0833333333333304E-2</v>
      </c>
    </row>
    <row r="15" spans="1:5">
      <c r="A15" t="s">
        <v>101</v>
      </c>
      <c r="B15" cm="1">
        <f t="array" ref="B15">_xlfn.XLOOKUP(1,(Vehicles!C:C=$B$3)*(Vehicles!D:D=$B$4)*(Vehicles!E:E=$B$5)*(Vehicles!F:F=$B$6),Vehicles!N:N)</f>
        <v>2</v>
      </c>
    </row>
    <row r="16" spans="1:5">
      <c r="A16" t="s">
        <v>102</v>
      </c>
      <c r="B16" cm="1">
        <f t="array" ref="B16">_xlfn.XLOOKUP(1,(Vehicles!C:C=$B$3)*(Vehicles!D:D=$B$4)*(Vehicles!E:E=$B$5)*(Vehicles!F:F=$B$6),Vehicles!O:O)</f>
        <v>2</v>
      </c>
    </row>
    <row r="17" spans="1:2">
      <c r="A17" t="s">
        <v>103</v>
      </c>
      <c r="B17" cm="1">
        <f t="array" ref="B17">_xlfn.XLOOKUP(1,(Vehicles!C:C=$B$3)*(Vehicles!D:D=$B$4)*(Vehicles!E:E=$B$5)*(Vehicles!F:F=$B$6),Vehicles!P:P)</f>
        <v>2</v>
      </c>
    </row>
    <row r="19" spans="1:2">
      <c r="A19" s="1" t="s">
        <v>134</v>
      </c>
    </row>
    <row r="20" spans="1:2">
      <c r="A20" t="s">
        <v>135</v>
      </c>
      <c r="B20" s="5" cm="1">
        <f t="array" ref="B20">_xlfn.XLOOKUP(1,(Economy!A:A=$B$3)*(Economy!B:B=$B$4),Economy!D:D)%</f>
        <v>1.8000000000000002E-2</v>
      </c>
    </row>
    <row r="21" spans="1:2">
      <c r="A21" t="s">
        <v>136</v>
      </c>
      <c r="B21" s="5" cm="1">
        <f t="array" ref="B21">_xlfn.XLOOKUP(1,(Economy!A:A=$B$3)*(Economy!B:B=$B$4),Economy!D:D)%</f>
        <v>1.8000000000000002E-2</v>
      </c>
    </row>
    <row r="22" spans="1:2">
      <c r="A22" t="s">
        <v>137</v>
      </c>
      <c r="B22" s="5" cm="1">
        <f t="array" ref="B22">_xlfn.XLOOKUP(1,(Economy!A:A=$B$3)*(Economy!B:B=$B$4),Economy!D:D)%</f>
        <v>1.8000000000000002E-2</v>
      </c>
    </row>
    <row r="23" spans="1:2">
      <c r="A23" t="s">
        <v>144</v>
      </c>
      <c r="B23" s="5" cm="1">
        <f t="array" ref="B23">_xlfn.XLOOKUP(1,(Economy!A:A=$B$3)*(Economy!B:B=$B$4),Economy!D:D)%</f>
        <v>1.8000000000000002E-2</v>
      </c>
    </row>
    <row r="24" spans="1:2">
      <c r="A24" t="s">
        <v>138</v>
      </c>
      <c r="B24" s="8" cm="1">
        <f t="array" ref="B24">_xlfn.XLOOKUP(1,(Economy!A:A=$B$3)*(Economy!B:B=$B$4),Economy!H:H)</f>
        <v>108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1CD8E-F00A-F743-9F96-E3190FFA9E76}">
  <dimension ref="A1:I28"/>
  <sheetViews>
    <sheetView workbookViewId="0">
      <selection activeCell="H19" sqref="H19"/>
    </sheetView>
  </sheetViews>
  <sheetFormatPr baseColWidth="10" defaultRowHeight="15"/>
  <cols>
    <col min="1" max="1" width="12.5" customWidth="1"/>
    <col min="2" max="3" width="13.5" customWidth="1"/>
    <col min="4" max="4" width="11.6640625" style="7" customWidth="1"/>
    <col min="6" max="6" width="12.6640625" customWidth="1"/>
    <col min="7" max="7" width="15.6640625" customWidth="1"/>
    <col min="8" max="8" width="12.33203125" customWidth="1"/>
    <col min="9" max="9" width="15.1640625" customWidth="1"/>
  </cols>
  <sheetData>
    <row r="1" spans="1:9">
      <c r="A1" s="1" t="s">
        <v>145</v>
      </c>
      <c r="F1" s="1" t="s">
        <v>149</v>
      </c>
    </row>
    <row r="3" spans="1:9">
      <c r="A3" s="13" t="s">
        <v>29</v>
      </c>
      <c r="B3" s="14" t="s">
        <v>146</v>
      </c>
      <c r="C3" s="14" t="s">
        <v>147</v>
      </c>
      <c r="D3" s="15" t="s">
        <v>148</v>
      </c>
      <c r="F3" s="13" t="s">
        <v>129</v>
      </c>
      <c r="G3" s="14" t="s">
        <v>150</v>
      </c>
      <c r="H3" s="14" t="s">
        <v>151</v>
      </c>
      <c r="I3" s="21" t="s">
        <v>152</v>
      </c>
    </row>
    <row r="4" spans="1:9">
      <c r="A4" s="16" t="s">
        <v>32</v>
      </c>
      <c r="B4" s="12">
        <f>SUMIFS(Market_Sales!$G:$G,Market_Sales!$A:$A,1,Market_Sales!$C:$C,$A4)</f>
        <v>615</v>
      </c>
      <c r="C4" s="12">
        <f>SUMIFS(Market_Sales!$G:$G,Market_Sales!$A:$A,2,Market_Sales!$C:$C, $A4)</f>
        <v>663</v>
      </c>
      <c r="D4" s="17">
        <f>C4/B4-1</f>
        <v>7.8048780487804947E-2</v>
      </c>
      <c r="F4" s="16" t="s">
        <v>33</v>
      </c>
      <c r="G4" s="22">
        <f>AVERAGEIFS(Vehicles!$J:$J,Vehicles!$I:$I,$F4,Vehicles!$C:$C,2,Vehicles!$D:$D,"Q4")</f>
        <v>14611</v>
      </c>
      <c r="H4" s="22" t="str" cm="1">
        <f t="array" ref="H4">_xlfn.XLOOKUP(1,(Vehicles!$C$2:$C$1000=2)*(Vehicles!$D$2:$D$1000="Q4")*(Vehicles!$E$2:$E$1000="Firm C")*(Vehicles!$I$2:$I$1000=$F4),Vehicles!$J$2:$J$1000,"No Vehicle")</f>
        <v>No Vehicle</v>
      </c>
      <c r="I4" s="23" t="str">
        <f>IFERROR(H4/G4-1,"No Vehicle")</f>
        <v>No Vehicle</v>
      </c>
    </row>
    <row r="5" spans="1:9">
      <c r="A5" s="16" t="s">
        <v>35</v>
      </c>
      <c r="B5" s="12">
        <f>SUMIFS(Market_Sales!$G:$G,Market_Sales!$A:$A,1,Market_Sales!$C:$C,$A5)</f>
        <v>342</v>
      </c>
      <c r="C5" s="12">
        <f>SUMIFS(Market_Sales!$G:$G,Market_Sales!$A:$A,2,Market_Sales!$C:$C, $A5)</f>
        <v>354</v>
      </c>
      <c r="D5" s="17">
        <f t="shared" ref="D5:D17" si="0">C5/B5-1</f>
        <v>3.5087719298245723E-2</v>
      </c>
      <c r="F5" s="16" t="s">
        <v>39</v>
      </c>
      <c r="G5" s="22">
        <f>AVERAGEIFS(Vehicles!$J:$J,Vehicles!$I:$I,$F5,Vehicles!$C:$C,2,Vehicles!$D:$D,"Q4")</f>
        <v>27047.8</v>
      </c>
      <c r="H5" s="22" cm="1">
        <f t="array" ref="H5">_xlfn.XLOOKUP(1,(Vehicles!$C$2:$C$1000=2)*(Vehicles!$D$2:$D$1000="Q4")*(Vehicles!$E$2:$E$1000="Firm C")*(Vehicles!$I$2:$I$1000=$F5),Vehicles!$J$2:$J$1000,"No Vehicle")</f>
        <v>31361</v>
      </c>
      <c r="I5" s="17">
        <f t="shared" ref="I5:I9" si="1">IFERROR(H5/G5-1,"No Vehicle")</f>
        <v>0.15946583455955765</v>
      </c>
    </row>
    <row r="6" spans="1:9">
      <c r="A6" s="16" t="s">
        <v>38</v>
      </c>
      <c r="B6" s="12">
        <f>SUMIFS(Market_Sales!$G:$G,Market_Sales!$A:$A,1,Market_Sales!$C:$C,$A6)</f>
        <v>965</v>
      </c>
      <c r="C6" s="12">
        <f>SUMIFS(Market_Sales!$G:$G,Market_Sales!$A:$A,2,Market_Sales!$C:$C, $A6)</f>
        <v>1053</v>
      </c>
      <c r="D6" s="17">
        <f t="shared" si="0"/>
        <v>9.1191709844559599E-2</v>
      </c>
      <c r="F6" s="16" t="s">
        <v>54</v>
      </c>
      <c r="G6" s="22">
        <f>AVERAGEIFS(Vehicles!$J:$J,Vehicles!$I:$I,$F6,Vehicles!$C:$C,2,Vehicles!$D:$D,"Q4")</f>
        <v>42094</v>
      </c>
      <c r="H6" s="22" cm="1">
        <f t="array" ref="H6">_xlfn.XLOOKUP(1,(Vehicles!$C$2:$C$1000=2)*(Vehicles!$D$2:$D$1000="Q4")*(Vehicles!$E$2:$E$1000="Firm C")*(Vehicles!$I$2:$I$1000=$F6),Vehicles!$J$2:$J$1000,"No Vehicle")</f>
        <v>45997</v>
      </c>
      <c r="I6" s="17">
        <f t="shared" si="1"/>
        <v>9.2721052881645782E-2</v>
      </c>
    </row>
    <row r="7" spans="1:9">
      <c r="A7" s="16" t="s">
        <v>41</v>
      </c>
      <c r="B7" s="12">
        <f>SUMIFS(Market_Sales!$G:$G,Market_Sales!$A:$A,1,Market_Sales!$C:$C,$A7)</f>
        <v>439</v>
      </c>
      <c r="C7" s="12">
        <f>SUMIFS(Market_Sales!$G:$G,Market_Sales!$A:$A,2,Market_Sales!$C:$C, $A7)</f>
        <v>449</v>
      </c>
      <c r="D7" s="17">
        <f t="shared" si="0"/>
        <v>2.277904328018221E-2</v>
      </c>
      <c r="F7" s="16" t="s">
        <v>50</v>
      </c>
      <c r="G7" s="22">
        <f>AVERAGEIFS(Vehicles!$J:$J,Vehicles!$I:$I,$F7,Vehicles!$C:$C,2,Vehicles!$D:$D,"Q4")</f>
        <v>33350.666666666664</v>
      </c>
      <c r="H7" s="22" cm="1">
        <f t="array" ref="H7">_xlfn.XLOOKUP(1,(Vehicles!$C$2:$C$1000=2)*(Vehicles!$D$2:$D$1000="Q4")*(Vehicles!$E$2:$E$1000="Firm C")*(Vehicles!$I$2:$I$1000=$F7),Vehicles!$J$2:$J$1000,"No Vehicle")</f>
        <v>33900</v>
      </c>
      <c r="I7" s="17">
        <f t="shared" si="1"/>
        <v>1.6471434853876143E-2</v>
      </c>
    </row>
    <row r="8" spans="1:9">
      <c r="A8" s="16" t="s">
        <v>42</v>
      </c>
      <c r="B8" s="12">
        <f>SUMIFS(Market_Sales!$G:$G,Market_Sales!$A:$A,1,Market_Sales!$C:$C,$A8)</f>
        <v>462</v>
      </c>
      <c r="C8" s="12">
        <f>SUMIFS(Market_Sales!$G:$G,Market_Sales!$A:$A,2,Market_Sales!$C:$C, $A8)</f>
        <v>492</v>
      </c>
      <c r="D8" s="17">
        <f t="shared" si="0"/>
        <v>6.4935064935064846E-2</v>
      </c>
      <c r="F8" s="16" t="s">
        <v>46</v>
      </c>
      <c r="G8" s="22">
        <f>AVERAGEIFS(Vehicles!$J:$J,Vehicles!$I:$I,$F8,Vehicles!$C:$C,2,Vehicles!$D:$D,"Q4")</f>
        <v>26119.25</v>
      </c>
      <c r="H8" s="22" cm="1">
        <f t="array" ref="H8">_xlfn.XLOOKUP(1,(Vehicles!$C$2:$C$1000=2)*(Vehicles!$D$2:$D$1000="Q4")*(Vehicles!$E$2:$E$1000="Firm C")*(Vehicles!$I$2:$I$1000=$F8),Vehicles!$J$2:$J$1000,"No Vehicle")</f>
        <v>27900</v>
      </c>
      <c r="I8" s="17">
        <f t="shared" si="1"/>
        <v>6.8177685040726743E-2</v>
      </c>
    </row>
    <row r="9" spans="1:9">
      <c r="A9" s="16" t="s">
        <v>45</v>
      </c>
      <c r="B9" s="12">
        <f>SUMIFS(Market_Sales!$G:$G,Market_Sales!$A:$A,1,Market_Sales!$C:$C,$A9)</f>
        <v>476</v>
      </c>
      <c r="C9" s="12">
        <f>SUMIFS(Market_Sales!$G:$G,Market_Sales!$A:$A,2,Market_Sales!$C:$C, $A9)</f>
        <v>522</v>
      </c>
      <c r="D9" s="17">
        <f t="shared" si="0"/>
        <v>9.6638655462184975E-2</v>
      </c>
      <c r="F9" s="18" t="s">
        <v>43</v>
      </c>
      <c r="G9" s="24">
        <f>AVERAGEIFS(Vehicles!$J:$J,Vehicles!$I:$I,$F9,Vehicles!$C:$C,2,Vehicles!$D:$D,"Q4")</f>
        <v>25614.666666666668</v>
      </c>
      <c r="H9" s="24" cm="1">
        <f t="array" ref="H9">_xlfn.XLOOKUP(1,(Vehicles!$C$2:$C$1000=2)*(Vehicles!$D$2:$D$1000="Q4")*(Vehicles!$E$2:$E$1000="Firm C")*(Vehicles!$I$2:$I$1000=$F9),Vehicles!$J$2:$J$1000,"No Vehicle")</f>
        <v>24144</v>
      </c>
      <c r="I9" s="20">
        <f t="shared" si="1"/>
        <v>-5.7415022643277358E-2</v>
      </c>
    </row>
    <row r="10" spans="1:9">
      <c r="A10" s="16" t="s">
        <v>48</v>
      </c>
      <c r="B10" s="12">
        <f>SUMIFS(Market_Sales!$G:$G,Market_Sales!$A:$A,1,Market_Sales!$C:$C,$A10)</f>
        <v>352</v>
      </c>
      <c r="C10" s="12">
        <f>SUMIFS(Market_Sales!$G:$G,Market_Sales!$A:$A,2,Market_Sales!$C:$C, $A10)</f>
        <v>379</v>
      </c>
      <c r="D10" s="17">
        <f t="shared" si="0"/>
        <v>7.6704545454545414E-2</v>
      </c>
    </row>
    <row r="11" spans="1:9">
      <c r="A11" s="16" t="s">
        <v>49</v>
      </c>
      <c r="B11" s="12">
        <f>SUMIFS(Market_Sales!$G:$G,Market_Sales!$A:$A,1,Market_Sales!$C:$C,$A11)</f>
        <v>306</v>
      </c>
      <c r="C11" s="12">
        <f>SUMIFS(Market_Sales!$G:$G,Market_Sales!$A:$A,2,Market_Sales!$C:$C, $A11)</f>
        <v>329</v>
      </c>
      <c r="D11" s="17">
        <f t="shared" si="0"/>
        <v>7.5163398692810413E-2</v>
      </c>
    </row>
    <row r="12" spans="1:9">
      <c r="A12" s="16" t="s">
        <v>52</v>
      </c>
      <c r="B12" s="12">
        <f>SUMIFS(Market_Sales!$G:$G,Market_Sales!$A:$A,1,Market_Sales!$C:$C,$A12)</f>
        <v>270</v>
      </c>
      <c r="C12" s="12">
        <f>SUMIFS(Market_Sales!$G:$G,Market_Sales!$A:$A,2,Market_Sales!$C:$C, $A12)</f>
        <v>289</v>
      </c>
      <c r="D12" s="17">
        <f t="shared" si="0"/>
        <v>7.0370370370370416E-2</v>
      </c>
    </row>
    <row r="13" spans="1:9">
      <c r="A13" s="16" t="s">
        <v>53</v>
      </c>
      <c r="B13" s="12">
        <f>SUMIFS(Market_Sales!$G:$G,Market_Sales!$A:$A,1,Market_Sales!$C:$C,$A13)</f>
        <v>301</v>
      </c>
      <c r="C13" s="12">
        <f>SUMIFS(Market_Sales!$G:$G,Market_Sales!$A:$A,2,Market_Sales!$C:$C, $A13)</f>
        <v>338</v>
      </c>
      <c r="D13" s="17">
        <f t="shared" si="0"/>
        <v>0.12292358803986714</v>
      </c>
    </row>
    <row r="14" spans="1:9">
      <c r="A14" s="16" t="s">
        <v>56</v>
      </c>
      <c r="B14" s="12">
        <f>SUMIFS(Market_Sales!$G:$G,Market_Sales!$A:$A,1,Market_Sales!$C:$C,$A14)</f>
        <v>228</v>
      </c>
      <c r="C14" s="12">
        <f>SUMIFS(Market_Sales!$G:$G,Market_Sales!$A:$A,2,Market_Sales!$C:$C, $A14)</f>
        <v>250</v>
      </c>
      <c r="D14" s="17">
        <f t="shared" si="0"/>
        <v>9.6491228070175517E-2</v>
      </c>
    </row>
    <row r="15" spans="1:9">
      <c r="A15" s="16" t="s">
        <v>57</v>
      </c>
      <c r="B15" s="12">
        <f>SUMIFS(Market_Sales!$G:$G,Market_Sales!$A:$A,1,Market_Sales!$C:$C,$A15)</f>
        <v>171</v>
      </c>
      <c r="C15" s="12">
        <f>SUMIFS(Market_Sales!$G:$G,Market_Sales!$A:$A,2,Market_Sales!$C:$C, $A15)</f>
        <v>180</v>
      </c>
      <c r="D15" s="17">
        <f t="shared" si="0"/>
        <v>5.2631578947368363E-2</v>
      </c>
    </row>
    <row r="16" spans="1:9">
      <c r="A16" s="16" t="s">
        <v>58</v>
      </c>
      <c r="B16" s="12">
        <f>SUMIFS(Market_Sales!$G:$G,Market_Sales!$A:$A,1,Market_Sales!$C:$C,$A16)</f>
        <v>392</v>
      </c>
      <c r="C16" s="12">
        <f>SUMIFS(Market_Sales!$G:$G,Market_Sales!$A:$A,2,Market_Sales!$C:$C, $A16)</f>
        <v>435</v>
      </c>
      <c r="D16" s="17">
        <f t="shared" si="0"/>
        <v>0.10969387755102034</v>
      </c>
    </row>
    <row r="17" spans="1:6">
      <c r="A17" s="18" t="s">
        <v>59</v>
      </c>
      <c r="B17" s="19">
        <f>SUMIFS(Market_Sales!$G:$G,Market_Sales!$A:$A,1,Market_Sales!$C:$C,$A17)</f>
        <v>265</v>
      </c>
      <c r="C17" s="19">
        <f>SUMIFS(Market_Sales!$G:$G,Market_Sales!$A:$A,2,Market_Sales!$C:$C, $A17)</f>
        <v>282</v>
      </c>
      <c r="D17" s="20">
        <f t="shared" si="0"/>
        <v>6.4150943396226401E-2</v>
      </c>
    </row>
    <row r="19" spans="1:6">
      <c r="A19" s="1" t="s">
        <v>154</v>
      </c>
    </row>
    <row r="21" spans="1:6">
      <c r="A21" s="13" t="s">
        <v>129</v>
      </c>
      <c r="B21" s="14" t="s">
        <v>71</v>
      </c>
      <c r="C21" s="14" t="s">
        <v>73</v>
      </c>
      <c r="D21" s="25" t="s">
        <v>79</v>
      </c>
      <c r="E21" s="14" t="s">
        <v>67</v>
      </c>
      <c r="F21" s="21" t="s">
        <v>69</v>
      </c>
    </row>
    <row r="22" spans="1:6">
      <c r="A22" s="16" t="s">
        <v>33</v>
      </c>
      <c r="B22" s="12">
        <f>COUNTIFS(Vehicles!$I:$I,$A22,Vehicles!$E:$E,B$21,Vehicles!$C:$C,2,Vehicles!$D:$D,"Q4")</f>
        <v>1</v>
      </c>
      <c r="C22" s="12">
        <f>COUNTIFS(Vehicles!$I:$I,$A22,Vehicles!$E:$E,C$21,Vehicles!$C:$C,2,Vehicles!$D:$D,"Q4")</f>
        <v>1</v>
      </c>
      <c r="D22" s="12">
        <f>COUNTIFS(Vehicles!$I:$I,$A22,Vehicles!$E:$E,D$21,Vehicles!$C:$C,2,Vehicles!$D:$D,"Q4")</f>
        <v>0</v>
      </c>
      <c r="E22" s="12">
        <f>COUNTIFS(Vehicles!$I:$I,$A22,Vehicles!$E:$E,E$21,Vehicles!$C:$C,2,Vehicles!$D:$D,"Q4")</f>
        <v>1</v>
      </c>
      <c r="F22" s="23">
        <f>COUNTIFS(Vehicles!$I:$I,$A22,Vehicles!$E:$E,F$21,Vehicles!$C:$C,2,Vehicles!$D:$D,"Q4")</f>
        <v>1</v>
      </c>
    </row>
    <row r="23" spans="1:6">
      <c r="A23" s="16" t="s">
        <v>39</v>
      </c>
      <c r="B23" s="12">
        <f>COUNTIFS(Vehicles!$I:$I,$A23,Vehicles!$E:$E,B$21,Vehicles!$C:$C,2,Vehicles!$D:$D,"Q4")</f>
        <v>1</v>
      </c>
      <c r="C23" s="12">
        <f>COUNTIFS(Vehicles!$I:$I,$A23,Vehicles!$E:$E,C$21,Vehicles!$C:$C,2,Vehicles!$D:$D,"Q4")</f>
        <v>1</v>
      </c>
      <c r="D23" s="12">
        <f>COUNTIFS(Vehicles!$I:$I,$A23,Vehicles!$E:$E,D$21,Vehicles!$C:$C,2,Vehicles!$D:$D,"Q4")</f>
        <v>1</v>
      </c>
      <c r="E23" s="12">
        <f>COUNTIFS(Vehicles!$I:$I,$A23,Vehicles!$E:$E,E$21,Vehicles!$C:$C,2,Vehicles!$D:$D,"Q4")</f>
        <v>1</v>
      </c>
      <c r="F23" s="23">
        <f>COUNTIFS(Vehicles!$I:$I,$A23,Vehicles!$E:$E,F$21,Vehicles!$C:$C,2,Vehicles!$D:$D,"Q4")</f>
        <v>1</v>
      </c>
    </row>
    <row r="24" spans="1:6">
      <c r="A24" s="16" t="s">
        <v>54</v>
      </c>
      <c r="B24" s="12">
        <f>COUNTIFS(Vehicles!$I:$I,$A24,Vehicles!$E:$E,B$21,Vehicles!$C:$C,2,Vehicles!$D:$D,"Q4")</f>
        <v>0</v>
      </c>
      <c r="C24" s="12">
        <f>COUNTIFS(Vehicles!$I:$I,$A24,Vehicles!$E:$E,C$21,Vehicles!$C:$C,2,Vehicles!$D:$D,"Q4")</f>
        <v>1</v>
      </c>
      <c r="D24" s="12">
        <f>COUNTIFS(Vehicles!$I:$I,$A24,Vehicles!$E:$E,D$21,Vehicles!$C:$C,2,Vehicles!$D:$D,"Q4")</f>
        <v>1</v>
      </c>
      <c r="E24" s="12">
        <f>COUNTIFS(Vehicles!$I:$I,$A24,Vehicles!$E:$E,E$21,Vehicles!$C:$C,2,Vehicles!$D:$D,"Q4")</f>
        <v>1</v>
      </c>
      <c r="F24" s="23">
        <f>COUNTIFS(Vehicles!$I:$I,$A24,Vehicles!$E:$E,F$21,Vehicles!$C:$C,2,Vehicles!$D:$D,"Q4")</f>
        <v>0</v>
      </c>
    </row>
    <row r="25" spans="1:6">
      <c r="A25" s="16" t="s">
        <v>50</v>
      </c>
      <c r="B25" s="12">
        <f>COUNTIFS(Vehicles!$I:$I,$A25,Vehicles!$E:$E,B$21,Vehicles!$C:$C,2,Vehicles!$D:$D,"Q4")</f>
        <v>1</v>
      </c>
      <c r="C25" s="12">
        <f>COUNTIFS(Vehicles!$I:$I,$A25,Vehicles!$E:$E,C$21,Vehicles!$C:$C,2,Vehicles!$D:$D,"Q4")</f>
        <v>1</v>
      </c>
      <c r="D25" s="12">
        <f>COUNTIFS(Vehicles!$I:$I,$A25,Vehicles!$E:$E,D$21,Vehicles!$C:$C,2,Vehicles!$D:$D,"Q4")</f>
        <v>1</v>
      </c>
      <c r="E25" s="12">
        <f>COUNTIFS(Vehicles!$I:$I,$A25,Vehicles!$E:$E,E$21,Vehicles!$C:$C,2,Vehicles!$D:$D,"Q4")</f>
        <v>0</v>
      </c>
      <c r="F25" s="23">
        <f>COUNTIFS(Vehicles!$I:$I,$A25,Vehicles!$E:$E,F$21,Vehicles!$C:$C,2,Vehicles!$D:$D,"Q4")</f>
        <v>0</v>
      </c>
    </row>
    <row r="26" spans="1:6">
      <c r="A26" s="16" t="s">
        <v>46</v>
      </c>
      <c r="B26" s="12">
        <f>COUNTIFS(Vehicles!$I:$I,$A26,Vehicles!$E:$E,B$21,Vehicles!$C:$C,2,Vehicles!$D:$D,"Q4")</f>
        <v>1</v>
      </c>
      <c r="C26" s="12">
        <f>COUNTIFS(Vehicles!$I:$I,$A26,Vehicles!$E:$E,C$21,Vehicles!$C:$C,2,Vehicles!$D:$D,"Q4")</f>
        <v>0</v>
      </c>
      <c r="D26" s="12">
        <f>COUNTIFS(Vehicles!$I:$I,$A26,Vehicles!$E:$E,D$21,Vehicles!$C:$C,2,Vehicles!$D:$D,"Q4")</f>
        <v>1</v>
      </c>
      <c r="E26" s="12">
        <f>COUNTIFS(Vehicles!$I:$I,$A26,Vehicles!$E:$E,E$21,Vehicles!$C:$C,2,Vehicles!$D:$D,"Q4")</f>
        <v>1</v>
      </c>
      <c r="F26" s="23">
        <f>COUNTIFS(Vehicles!$I:$I,$A26,Vehicles!$E:$E,F$21,Vehicles!$C:$C,2,Vehicles!$D:$D,"Q4")</f>
        <v>1</v>
      </c>
    </row>
    <row r="27" spans="1:6">
      <c r="A27" s="16" t="s">
        <v>43</v>
      </c>
      <c r="B27" s="12">
        <f>COUNTIFS(Vehicles!$I:$I,$A27,Vehicles!$E:$E,B$21,Vehicles!$C:$C,2,Vehicles!$D:$D,"Q4")</f>
        <v>1</v>
      </c>
      <c r="C27" s="12">
        <f>COUNTIFS(Vehicles!$I:$I,$A27,Vehicles!$E:$E,C$21,Vehicles!$C:$C,2,Vehicles!$D:$D,"Q4")</f>
        <v>0</v>
      </c>
      <c r="D27" s="12">
        <f>COUNTIFS(Vehicles!$I:$I,$A27,Vehicles!$E:$E,D$21,Vehicles!$C:$C,2,Vehicles!$D:$D,"Q4")</f>
        <v>1</v>
      </c>
      <c r="E27" s="12">
        <f>COUNTIFS(Vehicles!$I:$I,$A27,Vehicles!$E:$E,E$21,Vehicles!$C:$C,2,Vehicles!$D:$D,"Q4")</f>
        <v>0</v>
      </c>
      <c r="F27" s="23">
        <f>COUNTIFS(Vehicles!$I:$I,$A27,Vehicles!$E:$E,F$21,Vehicles!$C:$C,2,Vehicles!$D:$D,"Q4")</f>
        <v>1</v>
      </c>
    </row>
    <row r="28" spans="1:6">
      <c r="A28" s="18" t="s">
        <v>155</v>
      </c>
      <c r="B28" s="19">
        <f>SUM(B22:B27)</f>
        <v>5</v>
      </c>
      <c r="C28" s="19">
        <f t="shared" ref="C28:F28" si="2">SUM(C22:C27)</f>
        <v>4</v>
      </c>
      <c r="D28" s="19">
        <f t="shared" si="2"/>
        <v>5</v>
      </c>
      <c r="E28" s="19">
        <f t="shared" si="2"/>
        <v>4</v>
      </c>
      <c r="F28" s="26">
        <f t="shared" si="2"/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Economy</vt:lpstr>
      <vt:lpstr>Consumer_Segments</vt:lpstr>
      <vt:lpstr>Microsegments</vt:lpstr>
      <vt:lpstr>Market_Sales</vt:lpstr>
      <vt:lpstr>Microsegment_Sales</vt:lpstr>
      <vt:lpstr>Vehicles</vt:lpstr>
      <vt:lpstr>Data_model</vt:lpstr>
      <vt:lpstr>External_Events</vt:lpstr>
      <vt:lpstr>Market_LOOKUP</vt:lpstr>
      <vt:lpstr>Market_Analysis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Vu Chau Anh Dinh (Student)</cp:lastModifiedBy>
  <dcterms:created xsi:type="dcterms:W3CDTF">2026-09-20T15:12:22Z</dcterms:created>
  <dcterms:modified xsi:type="dcterms:W3CDTF">2026-09-23T06:29:37Z</dcterms:modified>
</cp:coreProperties>
</file>